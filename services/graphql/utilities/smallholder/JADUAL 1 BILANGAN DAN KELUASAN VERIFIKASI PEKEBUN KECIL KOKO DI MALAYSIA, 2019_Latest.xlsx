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nnjg" sheetId="1" r:id="rId4"/>
    <sheet state="visible" name="Msia" sheetId="2" r:id="rId5"/>
    <sheet state="visible" name="Sbh" sheetId="3" r:id="rId6"/>
    <sheet state="visible" name="Srwk" sheetId="4" r:id="rId7"/>
  </sheets>
  <definedNames/>
  <calcPr/>
  <extLst>
    <ext uri="GoogleSheetsCustomDataVersion2">
      <go:sheetsCustomData xmlns:go="http://customooxmlschemas.google.com/" r:id="rId8" roundtripDataChecksum="KQ6PXfV7wccF9zSS+K3AVaSlOapcBpBUJZ03NF52nBE="/>
    </ext>
  </extLst>
</workbook>
</file>

<file path=xl/sharedStrings.xml><?xml version="1.0" encoding="utf-8"?>
<sst xmlns="http://schemas.openxmlformats.org/spreadsheetml/2006/main" count="201" uniqueCount="131">
  <si>
    <t>JADUAL 1: PERANGKAAN UTAMA PEKEBUN KECIL KOKO DI SEMENANJUNG MALAYSIA</t>
  </si>
  <si>
    <t>NEGERI/DAERAH</t>
  </si>
  <si>
    <t>Maklumat Tanaman Koko</t>
  </si>
  <si>
    <t xml:space="preserve">Jumlah Pekebun
(Bil.) </t>
  </si>
  <si>
    <t xml:space="preserve">Jumlah Keluasan
(ha)) </t>
  </si>
  <si>
    <t>AKTIF</t>
  </si>
  <si>
    <t>TERBIAR</t>
  </si>
  <si>
    <t>Bil. Pekebun</t>
  </si>
  <si>
    <t>Keluasan (ha)</t>
  </si>
  <si>
    <t>PERLIS</t>
  </si>
  <si>
    <t xml:space="preserve">   Kangar</t>
  </si>
  <si>
    <t>Jumlah</t>
  </si>
  <si>
    <t>KEDAH</t>
  </si>
  <si>
    <t xml:space="preserve">   Kubang Pasu</t>
  </si>
  <si>
    <t xml:space="preserve">   Kulim</t>
  </si>
  <si>
    <t xml:space="preserve">   Jitra</t>
  </si>
  <si>
    <t>KELANTAN</t>
  </si>
  <si>
    <t xml:space="preserve">   Kota Bharu</t>
  </si>
  <si>
    <t xml:space="preserve">   Machang</t>
  </si>
  <si>
    <t xml:space="preserve">   Pasir Mas</t>
  </si>
  <si>
    <t xml:space="preserve">   Pasir Puteh</t>
  </si>
  <si>
    <t xml:space="preserve">   Tanah Merah</t>
  </si>
  <si>
    <t xml:space="preserve">   Tumpat</t>
  </si>
  <si>
    <t xml:space="preserve">   Gua Musang</t>
  </si>
  <si>
    <t xml:space="preserve">   Kuala Krai</t>
  </si>
  <si>
    <t xml:space="preserve">   Jeli</t>
  </si>
  <si>
    <t>TERENGGANU</t>
  </si>
  <si>
    <t xml:space="preserve">   Besut (perlimentName)</t>
  </si>
  <si>
    <t xml:space="preserve">   Marang</t>
  </si>
  <si>
    <t xml:space="preserve">   Hulu Terengganu</t>
  </si>
  <si>
    <t>PULAU PINANG</t>
  </si>
  <si>
    <t xml:space="preserve">   S.P Tengah</t>
  </si>
  <si>
    <t xml:space="preserve">   S.P Utara</t>
  </si>
  <si>
    <t xml:space="preserve">   S.P Selatan</t>
  </si>
  <si>
    <t>PERAK</t>
  </si>
  <si>
    <t xml:space="preserve">   Batang Padang</t>
  </si>
  <si>
    <t xml:space="preserve">   Manjung</t>
  </si>
  <si>
    <t xml:space="preserve">   Kinta</t>
  </si>
  <si>
    <t xml:space="preserve">   Kuala Kangsar</t>
  </si>
  <si>
    <t xml:space="preserve">   Larut &amp; Matang</t>
  </si>
  <si>
    <t xml:space="preserve">   Hilir Perak</t>
  </si>
  <si>
    <t xml:space="preserve">   Hulu Perak</t>
  </si>
  <si>
    <t xml:space="preserve">   Perak Tengah</t>
  </si>
  <si>
    <t>PAHANG</t>
  </si>
  <si>
    <t xml:space="preserve">   Bentong</t>
  </si>
  <si>
    <t xml:space="preserve">   Cameron Highland</t>
  </si>
  <si>
    <t xml:space="preserve">   Jerantut</t>
  </si>
  <si>
    <t xml:space="preserve">   Lipis</t>
  </si>
  <si>
    <t xml:space="preserve">   Raub</t>
  </si>
  <si>
    <t xml:space="preserve">   Maran</t>
  </si>
  <si>
    <t xml:space="preserve">   Bera</t>
  </si>
  <si>
    <t>SELANGOR</t>
  </si>
  <si>
    <t xml:space="preserve">   Klang</t>
  </si>
  <si>
    <t xml:space="preserve">   Kuala Langat</t>
  </si>
  <si>
    <t xml:space="preserve">   Kuala Selangor</t>
  </si>
  <si>
    <t xml:space="preserve">   Sabak Bernam</t>
  </si>
  <si>
    <t xml:space="preserve">   Ulu Langat</t>
  </si>
  <si>
    <t xml:space="preserve">   Ulu Selangor</t>
  </si>
  <si>
    <t>N. SEMBILAN</t>
  </si>
  <si>
    <t xml:space="preserve">   Kuala Pilah</t>
  </si>
  <si>
    <t xml:space="preserve">   Rembau</t>
  </si>
  <si>
    <t xml:space="preserve">   Jempol</t>
  </si>
  <si>
    <t>MELAKA</t>
  </si>
  <si>
    <t xml:space="preserve">   Alor Gajah</t>
  </si>
  <si>
    <t xml:space="preserve">   Jasin</t>
  </si>
  <si>
    <t xml:space="preserve">   Melaka Tengah</t>
  </si>
  <si>
    <t>JOHOR</t>
  </si>
  <si>
    <t xml:space="preserve">   Batu Pahat</t>
  </si>
  <si>
    <t xml:space="preserve">   Kota Tinggi</t>
  </si>
  <si>
    <t xml:space="preserve">   Muar</t>
  </si>
  <si>
    <t xml:space="preserve">   Pontian</t>
  </si>
  <si>
    <t xml:space="preserve">   Segamat</t>
  </si>
  <si>
    <t xml:space="preserve">   Labis</t>
  </si>
  <si>
    <t>JUMLAH SEMENANJUNG</t>
  </si>
  <si>
    <t>JADUAL 1: PERANGKAAN UTAMA PEKEBUN KECIL KOKO DI MALAYSIA</t>
  </si>
  <si>
    <t>NEGERI</t>
  </si>
  <si>
    <t xml:space="preserve">Jumlah Pekebun
(ha)) </t>
  </si>
  <si>
    <t>SABAH</t>
  </si>
  <si>
    <t>SARAWAK</t>
  </si>
  <si>
    <t>MALAYSIA</t>
  </si>
  <si>
    <t>JADUAL 1: PERANGKAAN UTAMA PEKEBUN KECIL KOKO DI SABAH</t>
  </si>
  <si>
    <t>DAERAH (perlimentName)</t>
  </si>
  <si>
    <t xml:space="preserve">   Tawau</t>
  </si>
  <si>
    <t xml:space="preserve">   Lahad Datu</t>
  </si>
  <si>
    <t xml:space="preserve">   Semporna</t>
  </si>
  <si>
    <t xml:space="preserve">   Kunak</t>
  </si>
  <si>
    <t xml:space="preserve">   Sandakan</t>
  </si>
  <si>
    <t xml:space="preserve">   Kinabatangan</t>
  </si>
  <si>
    <t xml:space="preserve">   Telupid</t>
  </si>
  <si>
    <t xml:space="preserve">   Kudat</t>
  </si>
  <si>
    <t xml:space="preserve">   Kota Marudu</t>
  </si>
  <si>
    <t xml:space="preserve">   Pitas</t>
  </si>
  <si>
    <t xml:space="preserve">   Matunggong</t>
  </si>
  <si>
    <t xml:space="preserve">   Kota Belud</t>
  </si>
  <si>
    <t xml:space="preserve">   Ranau</t>
  </si>
  <si>
    <t xml:space="preserve">   Penampang</t>
  </si>
  <si>
    <t xml:space="preserve">   Tamparuli</t>
  </si>
  <si>
    <t xml:space="preserve">   Menggatal</t>
  </si>
  <si>
    <t xml:space="preserve">   Tenghilan</t>
  </si>
  <si>
    <t xml:space="preserve">   Kiulu</t>
  </si>
  <si>
    <t xml:space="preserve">   Putatan</t>
  </si>
  <si>
    <t xml:space="preserve">   Tenom</t>
  </si>
  <si>
    <t xml:space="preserve">   Tambunan</t>
  </si>
  <si>
    <t xml:space="preserve">   Keningau</t>
  </si>
  <si>
    <t xml:space="preserve">   Sipitang</t>
  </si>
  <si>
    <t xml:space="preserve">   Kimanis</t>
  </si>
  <si>
    <t xml:space="preserve">   Nabawan</t>
  </si>
  <si>
    <t xml:space="preserve">   Sook</t>
  </si>
  <si>
    <t>JUMLAH SABAH</t>
  </si>
  <si>
    <t>JADUAL 1: PERANGKAAN UTAMA PEKEBUN KECIL KOKO DI SARAWAK</t>
  </si>
  <si>
    <t xml:space="preserve">   Kuching</t>
  </si>
  <si>
    <t xml:space="preserve">   Bau</t>
  </si>
  <si>
    <t xml:space="preserve">   Lundu</t>
  </si>
  <si>
    <t xml:space="preserve">   Samarahan</t>
  </si>
  <si>
    <t xml:space="preserve">   Simunjan</t>
  </si>
  <si>
    <t xml:space="preserve">   Asajaya</t>
  </si>
  <si>
    <t xml:space="preserve">   Sri Aman</t>
  </si>
  <si>
    <t xml:space="preserve">   Lubok Antu</t>
  </si>
  <si>
    <t xml:space="preserve">   Sarikei</t>
  </si>
  <si>
    <t xml:space="preserve">   Meradong</t>
  </si>
  <si>
    <t xml:space="preserve">   Julau</t>
  </si>
  <si>
    <t xml:space="preserve">   Pakan</t>
  </si>
  <si>
    <t xml:space="preserve">   Bintulu</t>
  </si>
  <si>
    <t xml:space="preserve">   Tatau</t>
  </si>
  <si>
    <t xml:space="preserve">   Kapit</t>
  </si>
  <si>
    <t xml:space="preserve">   Belaga</t>
  </si>
  <si>
    <t xml:space="preserve">   Betong</t>
  </si>
  <si>
    <t xml:space="preserve">   Saratok</t>
  </si>
  <si>
    <t xml:space="preserve">   Serian</t>
  </si>
  <si>
    <t xml:space="preserve">   Tebedu</t>
  </si>
  <si>
    <t>JUMLAH SARAWAK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</si>
</sst>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0" fontId="1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4" fillId="0" fontId="2" numFmtId="3" xfId="0" applyAlignment="1" applyBorder="1" applyFont="1" applyNumberFormat="1">
      <alignment horizontal="center"/>
    </xf>
    <xf borderId="0" fillId="0" fontId="2" numFmtId="164" xfId="0" applyFont="1" applyNumberFormat="1"/>
    <xf borderId="4" fillId="0" fontId="2" numFmtId="164" xfId="0" applyBorder="1" applyFont="1" applyNumberFormat="1"/>
    <xf borderId="4" fillId="0" fontId="2" numFmtId="165" xfId="0" applyBorder="1" applyFont="1" applyNumberFormat="1"/>
    <xf borderId="10" fillId="0" fontId="1" numFmtId="0" xfId="0" applyBorder="1" applyFont="1"/>
    <xf borderId="10" fillId="0" fontId="1" numFmtId="3" xfId="0" applyAlignment="1" applyBorder="1" applyFont="1" applyNumberFormat="1">
      <alignment horizontal="center"/>
    </xf>
    <xf borderId="6" fillId="0" fontId="1" numFmtId="164" xfId="0" applyBorder="1" applyFont="1" applyNumberFormat="1"/>
    <xf borderId="10" fillId="0" fontId="1" numFmtId="164" xfId="0" applyBorder="1" applyFont="1" applyNumberFormat="1"/>
    <xf borderId="10" fillId="0" fontId="1" numFmtId="165" xfId="0" applyBorder="1" applyFont="1" applyNumberFormat="1"/>
    <xf borderId="1" fillId="0" fontId="2" numFmtId="3" xfId="0" applyAlignment="1" applyBorder="1" applyFont="1" applyNumberFormat="1">
      <alignment horizontal="center"/>
    </xf>
    <xf borderId="3" fillId="0" fontId="2" numFmtId="164" xfId="0" applyBorder="1" applyFont="1" applyNumberFormat="1"/>
    <xf borderId="1" fillId="0" fontId="2" numFmtId="164" xfId="0" applyBorder="1" applyFont="1" applyNumberFormat="1"/>
    <xf borderId="1" fillId="0" fontId="2" numFmtId="165" xfId="0" applyBorder="1" applyFont="1" applyNumberFormat="1"/>
    <xf borderId="8" fillId="0" fontId="2" numFmtId="3" xfId="0" applyAlignment="1" applyBorder="1" applyFont="1" applyNumberFormat="1">
      <alignment horizontal="center"/>
    </xf>
    <xf borderId="4" fillId="0" fontId="1" numFmtId="3" xfId="0" applyAlignment="1" applyBorder="1" applyFont="1" applyNumberFormat="1">
      <alignment horizontal="center"/>
    </xf>
    <xf borderId="0" fillId="0" fontId="1" numFmtId="164" xfId="0" applyFont="1" applyNumberFormat="1"/>
    <xf borderId="4" fillId="0" fontId="1" numFmtId="164" xfId="0" applyBorder="1" applyFont="1" applyNumberFormat="1"/>
    <xf borderId="1" fillId="0" fontId="1" numFmtId="164" xfId="0" applyBorder="1" applyFont="1" applyNumberFormat="1"/>
    <xf borderId="4" fillId="0" fontId="2" numFmtId="0" xfId="0" applyAlignment="1" applyBorder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horizontal="center"/>
    </xf>
    <xf borderId="0" fillId="0" fontId="1" numFmtId="165" xfId="0" applyFont="1" applyNumberFormat="1"/>
    <xf borderId="0" fillId="0" fontId="2" numFmtId="3" xfId="0" applyAlignment="1" applyFont="1" applyNumberFormat="1">
      <alignment horizontal="center"/>
    </xf>
    <xf borderId="6" fillId="0" fontId="1" numFmtId="3" xfId="0" applyAlignment="1" applyBorder="1" applyFont="1" applyNumberFormat="1">
      <alignment horizontal="center"/>
    </xf>
    <xf borderId="7" fillId="0" fontId="1" numFmtId="164" xfId="0" applyBorder="1" applyFont="1" applyNumberFormat="1"/>
    <xf borderId="3" fillId="0" fontId="2" numFmtId="3" xfId="0" applyAlignment="1" applyBorder="1" applyFont="1" applyNumberFormat="1">
      <alignment horizontal="center"/>
    </xf>
    <xf borderId="5" fillId="0" fontId="1" numFmtId="0" xfId="0" applyBorder="1" applyFont="1"/>
    <xf borderId="11" fillId="0" fontId="3" numFmtId="0" xfId="0" applyBorder="1" applyFont="1"/>
    <xf borderId="9" fillId="0" fontId="3" numFmtId="0" xfId="0" applyBorder="1" applyFont="1"/>
    <xf borderId="3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left"/>
    </xf>
    <xf borderId="4" fillId="0" fontId="2" numFmtId="165" xfId="0" applyAlignment="1" applyBorder="1" applyFont="1" applyNumberFormat="1">
      <alignment horizontal="center"/>
    </xf>
    <xf borderId="9" fillId="0" fontId="2" numFmtId="0" xfId="0" applyAlignment="1" applyBorder="1" applyFont="1">
      <alignment horizontal="left"/>
    </xf>
    <xf borderId="8" fillId="0" fontId="2" numFmtId="164" xfId="0" applyBorder="1" applyFont="1" applyNumberFormat="1"/>
    <xf borderId="5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 vertical="center"/>
    </xf>
    <xf borderId="0" fillId="0" fontId="2" numFmtId="165" xfId="0" applyAlignment="1" applyFont="1" applyNumberFormat="1">
      <alignment horizontal="center"/>
    </xf>
    <xf borderId="8" fillId="0" fontId="2" numFmtId="0" xfId="0" applyBorder="1" applyFont="1"/>
    <xf borderId="10" fillId="0" fontId="1" numFmtId="0" xfId="0" applyAlignment="1" applyBorder="1" applyFont="1">
      <alignment horizontal="left"/>
    </xf>
    <xf borderId="6" fillId="0" fontId="1" numFmtId="165" xfId="0" applyAlignment="1" applyBorder="1" applyFont="1" applyNumberFormat="1">
      <alignment horizontal="center"/>
    </xf>
    <xf borderId="7" fillId="0" fontId="1" numFmtId="165" xfId="0" applyBorder="1" applyFont="1" applyNumberFormat="1"/>
    <xf borderId="0" fillId="0" fontId="1" numFmtId="0" xfId="0" applyAlignment="1" applyFont="1">
      <alignment horizontal="center"/>
    </xf>
    <xf borderId="0" fillId="0" fontId="2" numFmtId="165" xfId="0" applyFont="1" applyNumberFormat="1"/>
    <xf borderId="6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7" width="15.71"/>
    <col customWidth="1" min="8" max="26" width="9.0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/>
      <c r="B2" s="2"/>
      <c r="C2" s="2"/>
      <c r="D2" s="2"/>
      <c r="E2" s="2"/>
      <c r="F2" s="2"/>
      <c r="G2" s="2"/>
    </row>
    <row r="3" ht="15.0" customHeight="1">
      <c r="A3" s="4" t="s">
        <v>1</v>
      </c>
      <c r="B3" s="5" t="s">
        <v>2</v>
      </c>
      <c r="C3" s="6"/>
      <c r="D3" s="6"/>
      <c r="E3" s="6"/>
      <c r="F3" s="7" t="s">
        <v>3</v>
      </c>
      <c r="G3" s="7" t="s">
        <v>4</v>
      </c>
    </row>
    <row r="4">
      <c r="A4" s="8"/>
      <c r="B4" s="9" t="s">
        <v>5</v>
      </c>
      <c r="C4" s="10"/>
      <c r="D4" s="9" t="s">
        <v>6</v>
      </c>
      <c r="E4" s="11"/>
      <c r="F4" s="8"/>
      <c r="G4" s="8"/>
    </row>
    <row r="5">
      <c r="A5" s="12"/>
      <c r="B5" s="13" t="s">
        <v>7</v>
      </c>
      <c r="C5" s="14" t="s">
        <v>8</v>
      </c>
      <c r="D5" s="13" t="s">
        <v>7</v>
      </c>
      <c r="E5" s="14" t="s">
        <v>8</v>
      </c>
      <c r="F5" s="12"/>
      <c r="G5" s="12"/>
    </row>
    <row r="6">
      <c r="A6" s="15" t="s">
        <v>9</v>
      </c>
      <c r="B6" s="15"/>
      <c r="C6" s="16"/>
      <c r="D6" s="15"/>
      <c r="E6" s="16"/>
      <c r="F6" s="15"/>
      <c r="G6" s="15"/>
    </row>
    <row r="7">
      <c r="A7" s="17" t="s">
        <v>10</v>
      </c>
      <c r="B7" s="18">
        <v>21.0</v>
      </c>
      <c r="C7" s="19">
        <v>5.57</v>
      </c>
      <c r="D7" s="20">
        <v>0.0</v>
      </c>
      <c r="E7" s="19">
        <v>0.0</v>
      </c>
      <c r="F7" s="21">
        <f t="shared" ref="F7:G7" si="1">SUM(B7+D7)</f>
        <v>21</v>
      </c>
      <c r="G7" s="20">
        <f t="shared" si="1"/>
        <v>5.57</v>
      </c>
    </row>
    <row r="8">
      <c r="A8" s="22" t="s">
        <v>11</v>
      </c>
      <c r="B8" s="23">
        <f>SUM(B7)</f>
        <v>21</v>
      </c>
      <c r="C8" s="24">
        <v>5.57</v>
      </c>
      <c r="D8" s="25">
        <v>0.0</v>
      </c>
      <c r="E8" s="24">
        <f t="shared" ref="E8:G8" si="2">SUM(E7)</f>
        <v>0</v>
      </c>
      <c r="F8" s="26">
        <f t="shared" si="2"/>
        <v>21</v>
      </c>
      <c r="G8" s="25">
        <f t="shared" si="2"/>
        <v>5.57</v>
      </c>
    </row>
    <row r="9">
      <c r="A9" s="15" t="s">
        <v>12</v>
      </c>
      <c r="B9" s="27"/>
      <c r="C9" s="28"/>
      <c r="D9" s="29"/>
      <c r="E9" s="28"/>
      <c r="F9" s="30"/>
      <c r="G9" s="29"/>
    </row>
    <row r="10">
      <c r="A10" s="17" t="s">
        <v>13</v>
      </c>
      <c r="B10" s="18">
        <v>34.0</v>
      </c>
      <c r="C10" s="19">
        <v>12.56</v>
      </c>
      <c r="D10" s="20">
        <v>0.0</v>
      </c>
      <c r="E10" s="19">
        <v>0.0</v>
      </c>
      <c r="F10" s="21">
        <f t="shared" ref="F10:G10" si="3">SUM(B10+D10)</f>
        <v>34</v>
      </c>
      <c r="G10" s="20">
        <f t="shared" si="3"/>
        <v>12.56</v>
      </c>
    </row>
    <row r="11">
      <c r="A11" s="17" t="s">
        <v>14</v>
      </c>
      <c r="B11" s="18">
        <v>2.0</v>
      </c>
      <c r="C11" s="19">
        <v>1.19</v>
      </c>
      <c r="D11" s="20">
        <v>0.0</v>
      </c>
      <c r="E11" s="19">
        <v>0.0</v>
      </c>
      <c r="F11" s="21">
        <f t="shared" ref="F11:G11" si="4">SUM(B11+D11)</f>
        <v>2</v>
      </c>
      <c r="G11" s="20">
        <f t="shared" si="4"/>
        <v>1.19</v>
      </c>
    </row>
    <row r="12">
      <c r="A12" s="17" t="s">
        <v>15</v>
      </c>
      <c r="B12" s="18">
        <v>1.0</v>
      </c>
      <c r="C12" s="19">
        <v>0.5</v>
      </c>
      <c r="D12" s="20">
        <v>0.0</v>
      </c>
      <c r="E12" s="19">
        <v>0.0</v>
      </c>
      <c r="F12" s="21">
        <f t="shared" ref="F12:G12" si="5">SUM(B12+D12)</f>
        <v>1</v>
      </c>
      <c r="G12" s="20">
        <f t="shared" si="5"/>
        <v>0.5</v>
      </c>
    </row>
    <row r="13">
      <c r="A13" s="22" t="s">
        <v>11</v>
      </c>
      <c r="B13" s="23">
        <f>SUM(B10:B12)</f>
        <v>37</v>
      </c>
      <c r="C13" s="24">
        <v>14.25</v>
      </c>
      <c r="D13" s="25">
        <v>0.0</v>
      </c>
      <c r="E13" s="24">
        <f t="shared" ref="E13:G13" si="6">SUM(E10:E12)</f>
        <v>0</v>
      </c>
      <c r="F13" s="26">
        <f t="shared" si="6"/>
        <v>37</v>
      </c>
      <c r="G13" s="25">
        <f t="shared" si="6"/>
        <v>14.25</v>
      </c>
    </row>
    <row r="14">
      <c r="A14" s="15" t="s">
        <v>16</v>
      </c>
      <c r="B14" s="27"/>
      <c r="C14" s="28"/>
      <c r="D14" s="29"/>
      <c r="E14" s="28"/>
      <c r="F14" s="29"/>
      <c r="G14" s="29"/>
    </row>
    <row r="15">
      <c r="A15" s="17" t="s">
        <v>17</v>
      </c>
      <c r="B15" s="20">
        <v>0.0</v>
      </c>
      <c r="C15" s="19">
        <v>0.0</v>
      </c>
      <c r="D15" s="20">
        <v>0.0</v>
      </c>
      <c r="E15" s="19">
        <v>0.0</v>
      </c>
      <c r="F15" s="21">
        <f t="shared" ref="F15:G15" si="7">SUM(B15+D15)</f>
        <v>0</v>
      </c>
      <c r="G15" s="20">
        <f t="shared" si="7"/>
        <v>0</v>
      </c>
    </row>
    <row r="16">
      <c r="A16" s="17" t="s">
        <v>18</v>
      </c>
      <c r="B16" s="18">
        <v>6.0</v>
      </c>
      <c r="C16" s="19">
        <v>6.34</v>
      </c>
      <c r="D16" s="20">
        <v>0.0</v>
      </c>
      <c r="E16" s="19">
        <v>0.0</v>
      </c>
      <c r="F16" s="21">
        <f t="shared" ref="F16:G16" si="8">SUM(B16+D16)</f>
        <v>6</v>
      </c>
      <c r="G16" s="20">
        <f t="shared" si="8"/>
        <v>6.34</v>
      </c>
    </row>
    <row r="17">
      <c r="A17" s="17" t="s">
        <v>19</v>
      </c>
      <c r="B17" s="18">
        <v>5.0</v>
      </c>
      <c r="C17" s="19">
        <v>1.75</v>
      </c>
      <c r="D17" s="20">
        <v>0.0</v>
      </c>
      <c r="E17" s="19">
        <v>0.0</v>
      </c>
      <c r="F17" s="21">
        <f t="shared" ref="F17:G17" si="9">SUM(B17+D17)</f>
        <v>5</v>
      </c>
      <c r="G17" s="20">
        <f t="shared" si="9"/>
        <v>1.75</v>
      </c>
    </row>
    <row r="18">
      <c r="A18" s="17" t="s">
        <v>20</v>
      </c>
      <c r="B18" s="18">
        <v>0.0</v>
      </c>
      <c r="C18" s="19">
        <v>0.0</v>
      </c>
      <c r="D18" s="20">
        <v>0.0</v>
      </c>
      <c r="E18" s="19">
        <v>0.0</v>
      </c>
      <c r="F18" s="21">
        <f t="shared" ref="F18:G18" si="10">SUM(B18+D18)</f>
        <v>0</v>
      </c>
      <c r="G18" s="20">
        <f t="shared" si="10"/>
        <v>0</v>
      </c>
    </row>
    <row r="19">
      <c r="A19" s="17" t="s">
        <v>21</v>
      </c>
      <c r="B19" s="18">
        <v>12.0</v>
      </c>
      <c r="C19" s="19">
        <v>3.76</v>
      </c>
      <c r="D19" s="20">
        <v>0.0</v>
      </c>
      <c r="E19" s="19">
        <v>0.0</v>
      </c>
      <c r="F19" s="21">
        <f t="shared" ref="F19:G19" si="11">SUM(B19+D19)</f>
        <v>12</v>
      </c>
      <c r="G19" s="20">
        <f t="shared" si="11"/>
        <v>3.76</v>
      </c>
    </row>
    <row r="20">
      <c r="A20" s="17" t="s">
        <v>22</v>
      </c>
      <c r="B20" s="18">
        <v>1.0</v>
      </c>
      <c r="C20" s="19">
        <v>0.3</v>
      </c>
      <c r="D20" s="20">
        <v>0.0</v>
      </c>
      <c r="E20" s="19">
        <v>0.0</v>
      </c>
      <c r="F20" s="21">
        <f t="shared" ref="F20:G20" si="12">SUM(B20+D20)</f>
        <v>1</v>
      </c>
      <c r="G20" s="20">
        <f t="shared" si="12"/>
        <v>0.3</v>
      </c>
    </row>
    <row r="21" ht="15.75" customHeight="1">
      <c r="A21" s="17" t="s">
        <v>23</v>
      </c>
      <c r="B21" s="18">
        <v>115.0</v>
      </c>
      <c r="C21" s="19">
        <v>27.2</v>
      </c>
      <c r="D21" s="20">
        <v>0.0</v>
      </c>
      <c r="E21" s="19">
        <v>0.0</v>
      </c>
      <c r="F21" s="21">
        <f t="shared" ref="F21:G21" si="13">SUM(B21+D21)</f>
        <v>115</v>
      </c>
      <c r="G21" s="20">
        <f t="shared" si="13"/>
        <v>27.2</v>
      </c>
    </row>
    <row r="22" ht="15.75" customHeight="1">
      <c r="A22" s="17" t="s">
        <v>24</v>
      </c>
      <c r="B22" s="18">
        <v>8.0</v>
      </c>
      <c r="C22" s="19">
        <v>7.8</v>
      </c>
      <c r="D22" s="20">
        <v>0.0</v>
      </c>
      <c r="E22" s="19">
        <v>0.0</v>
      </c>
      <c r="F22" s="21">
        <f t="shared" ref="F22:G22" si="14">SUM(B22+D22)</f>
        <v>8</v>
      </c>
      <c r="G22" s="20">
        <f t="shared" si="14"/>
        <v>7.8</v>
      </c>
    </row>
    <row r="23" ht="15.75" customHeight="1">
      <c r="A23" s="17" t="s">
        <v>25</v>
      </c>
      <c r="B23" s="31">
        <v>22.0</v>
      </c>
      <c r="C23" s="19">
        <v>17.45</v>
      </c>
      <c r="D23" s="20">
        <v>0.0</v>
      </c>
      <c r="E23" s="19">
        <v>0.0</v>
      </c>
      <c r="F23" s="21">
        <f t="shared" ref="F23:G23" si="15">SUM(B23+D23)</f>
        <v>22</v>
      </c>
      <c r="G23" s="20">
        <f t="shared" si="15"/>
        <v>17.45</v>
      </c>
    </row>
    <row r="24" ht="15.75" customHeight="1">
      <c r="A24" s="22" t="s">
        <v>11</v>
      </c>
      <c r="B24" s="23">
        <f t="shared" ref="B24:G24" si="16">SUM(B15:B23)</f>
        <v>169</v>
      </c>
      <c r="C24" s="24">
        <f t="shared" si="16"/>
        <v>64.6</v>
      </c>
      <c r="D24" s="25">
        <f t="shared" si="16"/>
        <v>0</v>
      </c>
      <c r="E24" s="24">
        <f t="shared" si="16"/>
        <v>0</v>
      </c>
      <c r="F24" s="26">
        <f t="shared" si="16"/>
        <v>169</v>
      </c>
      <c r="G24" s="25">
        <f t="shared" si="16"/>
        <v>64.6</v>
      </c>
    </row>
    <row r="25" ht="15.75" customHeight="1">
      <c r="A25" s="17" t="s">
        <v>26</v>
      </c>
      <c r="B25" s="32"/>
      <c r="C25" s="33"/>
      <c r="D25" s="34"/>
      <c r="E25" s="33"/>
      <c r="F25" s="35"/>
      <c r="G25" s="35"/>
    </row>
    <row r="26" ht="15.75" customHeight="1">
      <c r="A26" s="36" t="s">
        <v>27</v>
      </c>
      <c r="B26" s="18">
        <v>6.0</v>
      </c>
      <c r="C26" s="19">
        <v>3.08</v>
      </c>
      <c r="D26" s="20">
        <v>0.0</v>
      </c>
      <c r="E26" s="19">
        <v>0.0</v>
      </c>
      <c r="F26" s="21">
        <f t="shared" ref="F26:G26" si="17">SUM(B26+D26)</f>
        <v>6</v>
      </c>
      <c r="G26" s="20">
        <f t="shared" si="17"/>
        <v>3.08</v>
      </c>
    </row>
    <row r="27" ht="15.75" customHeight="1">
      <c r="A27" s="17" t="s">
        <v>28</v>
      </c>
      <c r="B27" s="18">
        <v>1.0</v>
      </c>
      <c r="C27" s="19">
        <v>1.0</v>
      </c>
      <c r="D27" s="20">
        <v>0.0</v>
      </c>
      <c r="E27" s="19">
        <v>0.0</v>
      </c>
      <c r="F27" s="21">
        <f t="shared" ref="F27:G27" si="18">SUM(B27+D27)</f>
        <v>1</v>
      </c>
      <c r="G27" s="20">
        <f t="shared" si="18"/>
        <v>1</v>
      </c>
    </row>
    <row r="28" ht="15.75" customHeight="1">
      <c r="A28" s="17" t="s">
        <v>29</v>
      </c>
      <c r="B28" s="18">
        <v>4.0</v>
      </c>
      <c r="C28" s="19">
        <v>2.54</v>
      </c>
      <c r="D28" s="20">
        <v>0.0</v>
      </c>
      <c r="E28" s="19">
        <v>0.0</v>
      </c>
      <c r="F28" s="21">
        <f t="shared" ref="F28:G28" si="19">SUM(B28+D28)</f>
        <v>4</v>
      </c>
      <c r="G28" s="20">
        <f t="shared" si="19"/>
        <v>2.54</v>
      </c>
    </row>
    <row r="29" ht="15.75" customHeight="1">
      <c r="A29" s="22" t="s">
        <v>11</v>
      </c>
      <c r="B29" s="23">
        <f>SUM(B26:B28)</f>
        <v>11</v>
      </c>
      <c r="C29" s="24">
        <v>6.62</v>
      </c>
      <c r="D29" s="25">
        <v>0.0</v>
      </c>
      <c r="E29" s="24">
        <f t="shared" ref="E29:G29" si="20">SUM(E26:E28)</f>
        <v>0</v>
      </c>
      <c r="F29" s="26">
        <f t="shared" si="20"/>
        <v>11</v>
      </c>
      <c r="G29" s="25">
        <f t="shared" si="20"/>
        <v>6.62</v>
      </c>
    </row>
    <row r="30" ht="15.75" customHeight="1">
      <c r="A30" s="15" t="s">
        <v>30</v>
      </c>
      <c r="B30" s="27"/>
      <c r="C30" s="28"/>
      <c r="D30" s="29"/>
      <c r="E30" s="28"/>
      <c r="F30" s="29"/>
      <c r="G30" s="29"/>
    </row>
    <row r="31" ht="15.75" customHeight="1">
      <c r="A31" s="17" t="s">
        <v>31</v>
      </c>
      <c r="B31" s="18">
        <v>2.0</v>
      </c>
      <c r="C31" s="19">
        <v>1.98</v>
      </c>
      <c r="D31" s="20">
        <v>0.0</v>
      </c>
      <c r="E31" s="19">
        <v>0.0</v>
      </c>
      <c r="F31" s="21">
        <f t="shared" ref="F31:G31" si="21">SUM(B31+D31)</f>
        <v>2</v>
      </c>
      <c r="G31" s="20">
        <f t="shared" si="21"/>
        <v>1.98</v>
      </c>
    </row>
    <row r="32" ht="15.75" customHeight="1">
      <c r="A32" s="17" t="s">
        <v>32</v>
      </c>
      <c r="B32" s="18">
        <v>7.0</v>
      </c>
      <c r="C32" s="19">
        <v>2.0</v>
      </c>
      <c r="D32" s="20">
        <v>0.0</v>
      </c>
      <c r="E32" s="19">
        <v>0.0</v>
      </c>
      <c r="F32" s="21">
        <f t="shared" ref="F32:G32" si="22">SUM(B32+D32)</f>
        <v>7</v>
      </c>
      <c r="G32" s="20">
        <f t="shared" si="22"/>
        <v>2</v>
      </c>
    </row>
    <row r="33" ht="15.75" customHeight="1">
      <c r="A33" s="17" t="s">
        <v>33</v>
      </c>
      <c r="B33" s="18">
        <v>1.0</v>
      </c>
      <c r="C33" s="19">
        <v>0.45</v>
      </c>
      <c r="D33" s="20">
        <v>0.0</v>
      </c>
      <c r="E33" s="19">
        <v>0.0</v>
      </c>
      <c r="F33" s="21">
        <f t="shared" ref="F33:G33" si="23">SUM(B33+D33)</f>
        <v>1</v>
      </c>
      <c r="G33" s="20">
        <f t="shared" si="23"/>
        <v>0.45</v>
      </c>
    </row>
    <row r="34" ht="15.75" customHeight="1">
      <c r="A34" s="22" t="s">
        <v>11</v>
      </c>
      <c r="B34" s="23">
        <f>SUM(B31:B33)</f>
        <v>10</v>
      </c>
      <c r="C34" s="24">
        <v>4.43</v>
      </c>
      <c r="D34" s="25">
        <v>0.0</v>
      </c>
      <c r="E34" s="24">
        <f t="shared" ref="E34:G34" si="24">SUM(E31:E33)</f>
        <v>0</v>
      </c>
      <c r="F34" s="26">
        <f t="shared" si="24"/>
        <v>10</v>
      </c>
      <c r="G34" s="25">
        <f t="shared" si="24"/>
        <v>4.43</v>
      </c>
    </row>
    <row r="35" ht="15.75" customHeight="1">
      <c r="A35" s="37"/>
      <c r="B35" s="38"/>
      <c r="C35" s="33"/>
      <c r="D35" s="33"/>
      <c r="E35" s="33"/>
      <c r="F35" s="39"/>
      <c r="G35" s="3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4" t="s">
        <v>1</v>
      </c>
      <c r="B36" s="5" t="s">
        <v>2</v>
      </c>
      <c r="C36" s="6"/>
      <c r="D36" s="6"/>
      <c r="E36" s="6"/>
      <c r="F36" s="7" t="s">
        <v>3</v>
      </c>
      <c r="G36" s="7" t="s">
        <v>4</v>
      </c>
    </row>
    <row r="37" ht="15.75" customHeight="1">
      <c r="A37" s="8"/>
      <c r="B37" s="9" t="s">
        <v>5</v>
      </c>
      <c r="C37" s="10"/>
      <c r="D37" s="9" t="s">
        <v>6</v>
      </c>
      <c r="E37" s="11"/>
      <c r="F37" s="8"/>
      <c r="G37" s="8"/>
    </row>
    <row r="38" ht="15.75" customHeight="1">
      <c r="A38" s="12"/>
      <c r="B38" s="13" t="s">
        <v>7</v>
      </c>
      <c r="C38" s="14" t="s">
        <v>8</v>
      </c>
      <c r="D38" s="13" t="s">
        <v>7</v>
      </c>
      <c r="E38" s="14" t="s">
        <v>8</v>
      </c>
      <c r="F38" s="12"/>
      <c r="G38" s="12"/>
    </row>
    <row r="39" ht="15.75" customHeight="1">
      <c r="A39" s="15" t="s">
        <v>34</v>
      </c>
      <c r="B39" s="27"/>
      <c r="C39" s="28"/>
      <c r="D39" s="29"/>
      <c r="E39" s="28"/>
      <c r="F39" s="29"/>
      <c r="G39" s="29"/>
    </row>
    <row r="40" ht="15.75" customHeight="1">
      <c r="A40" s="17" t="s">
        <v>35</v>
      </c>
      <c r="B40" s="18">
        <v>115.0</v>
      </c>
      <c r="C40" s="19">
        <v>24.08</v>
      </c>
      <c r="D40" s="20">
        <v>0.0</v>
      </c>
      <c r="E40" s="19">
        <v>0.0</v>
      </c>
      <c r="F40" s="21">
        <f t="shared" ref="F40:G40" si="25">SUM(B40+D40)</f>
        <v>115</v>
      </c>
      <c r="G40" s="20">
        <f t="shared" si="25"/>
        <v>24.08</v>
      </c>
    </row>
    <row r="41" ht="15.75" customHeight="1">
      <c r="A41" s="17" t="s">
        <v>36</v>
      </c>
      <c r="B41" s="18">
        <v>6.0</v>
      </c>
      <c r="C41" s="19">
        <v>6.92</v>
      </c>
      <c r="D41" s="20">
        <v>0.0</v>
      </c>
      <c r="E41" s="19">
        <v>0.0</v>
      </c>
      <c r="F41" s="21">
        <f t="shared" ref="F41:G41" si="26">SUM(B41+D41)</f>
        <v>6</v>
      </c>
      <c r="G41" s="20">
        <f t="shared" si="26"/>
        <v>6.92</v>
      </c>
    </row>
    <row r="42" ht="15.75" customHeight="1">
      <c r="A42" s="17" t="s">
        <v>37</v>
      </c>
      <c r="B42" s="18">
        <v>79.0</v>
      </c>
      <c r="C42" s="19">
        <v>30.06</v>
      </c>
      <c r="D42" s="20">
        <v>0.0</v>
      </c>
      <c r="E42" s="19">
        <v>0.0</v>
      </c>
      <c r="F42" s="21">
        <f t="shared" ref="F42:G42" si="27">SUM(B42+D42)</f>
        <v>79</v>
      </c>
      <c r="G42" s="20">
        <f t="shared" si="27"/>
        <v>30.06</v>
      </c>
    </row>
    <row r="43" ht="15.75" customHeight="1">
      <c r="A43" s="17" t="s">
        <v>38</v>
      </c>
      <c r="B43" s="18">
        <v>166.0</v>
      </c>
      <c r="C43" s="19">
        <v>78.547</v>
      </c>
      <c r="D43" s="20">
        <v>0.0</v>
      </c>
      <c r="E43" s="19">
        <v>0.0</v>
      </c>
      <c r="F43" s="21">
        <f t="shared" ref="F43:G43" si="28">SUM(B43+D43)</f>
        <v>166</v>
      </c>
      <c r="G43" s="20">
        <f t="shared" si="28"/>
        <v>78.547</v>
      </c>
    </row>
    <row r="44" ht="15.75" customHeight="1">
      <c r="A44" s="17" t="s">
        <v>39</v>
      </c>
      <c r="B44" s="18">
        <v>10.0</v>
      </c>
      <c r="C44" s="19">
        <v>10.48</v>
      </c>
      <c r="D44" s="20">
        <v>0.0</v>
      </c>
      <c r="E44" s="19">
        <v>0.0</v>
      </c>
      <c r="F44" s="21">
        <f t="shared" ref="F44:G44" si="29">SUM(B44+D44)</f>
        <v>10</v>
      </c>
      <c r="G44" s="20">
        <f t="shared" si="29"/>
        <v>10.48</v>
      </c>
    </row>
    <row r="45" ht="15.75" customHeight="1">
      <c r="A45" s="17" t="s">
        <v>40</v>
      </c>
      <c r="B45" s="18">
        <v>28.0</v>
      </c>
      <c r="C45" s="19">
        <v>24.18</v>
      </c>
      <c r="D45" s="20">
        <v>0.0</v>
      </c>
      <c r="E45" s="19">
        <v>0.0</v>
      </c>
      <c r="F45" s="21">
        <f t="shared" ref="F45:G45" si="30">SUM(B45+D45)</f>
        <v>28</v>
      </c>
      <c r="G45" s="20">
        <f t="shared" si="30"/>
        <v>24.18</v>
      </c>
    </row>
    <row r="46" ht="15.75" customHeight="1">
      <c r="A46" s="17" t="s">
        <v>41</v>
      </c>
      <c r="B46" s="18">
        <v>12.0</v>
      </c>
      <c r="C46" s="19">
        <v>12.4</v>
      </c>
      <c r="D46" s="20">
        <v>0.0</v>
      </c>
      <c r="E46" s="19">
        <v>0.0</v>
      </c>
      <c r="F46" s="21">
        <f t="shared" ref="F46:G46" si="31">SUM(B46+D46)</f>
        <v>12</v>
      </c>
      <c r="G46" s="20">
        <f t="shared" si="31"/>
        <v>12.4</v>
      </c>
    </row>
    <row r="47" ht="15.75" customHeight="1">
      <c r="A47" s="17" t="s">
        <v>42</v>
      </c>
      <c r="B47" s="18">
        <v>8.0</v>
      </c>
      <c r="C47" s="19">
        <v>3.73</v>
      </c>
      <c r="D47" s="20">
        <v>0.0</v>
      </c>
      <c r="E47" s="19">
        <v>0.0</v>
      </c>
      <c r="F47" s="21">
        <f t="shared" ref="F47:G47" si="32">SUM(B47+D47)</f>
        <v>8</v>
      </c>
      <c r="G47" s="20">
        <f t="shared" si="32"/>
        <v>3.73</v>
      </c>
    </row>
    <row r="48" ht="15.75" customHeight="1">
      <c r="A48" s="22" t="s">
        <v>11</v>
      </c>
      <c r="B48" s="23">
        <f>SUM(B40:B47)</f>
        <v>424</v>
      </c>
      <c r="C48" s="24">
        <v>190.397</v>
      </c>
      <c r="D48" s="25">
        <v>0.0</v>
      </c>
      <c r="E48" s="24">
        <f t="shared" ref="E48:G48" si="33">SUM(E40:E47)</f>
        <v>0</v>
      </c>
      <c r="F48" s="26">
        <f t="shared" si="33"/>
        <v>424</v>
      </c>
      <c r="G48" s="25">
        <f t="shared" si="33"/>
        <v>190.397</v>
      </c>
    </row>
    <row r="49" ht="15.75" customHeight="1">
      <c r="A49" s="17" t="s">
        <v>43</v>
      </c>
      <c r="B49" s="40"/>
      <c r="C49" s="20"/>
      <c r="D49" s="19"/>
      <c r="E49" s="20"/>
      <c r="F49" s="20"/>
      <c r="G49" s="20"/>
    </row>
    <row r="50" ht="15.75" customHeight="1">
      <c r="A50" s="17" t="s">
        <v>44</v>
      </c>
      <c r="B50" s="40">
        <v>2.0</v>
      </c>
      <c r="C50" s="20">
        <v>2.6</v>
      </c>
      <c r="D50" s="19">
        <v>0.0</v>
      </c>
      <c r="E50" s="20">
        <v>0.0</v>
      </c>
      <c r="F50" s="21">
        <f t="shared" ref="F50:G50" si="34">SUM(B50+D50)</f>
        <v>2</v>
      </c>
      <c r="G50" s="20">
        <f t="shared" si="34"/>
        <v>2.6</v>
      </c>
    </row>
    <row r="51" ht="15.75" customHeight="1">
      <c r="A51" s="17" t="s">
        <v>45</v>
      </c>
      <c r="B51" s="40">
        <v>0.0</v>
      </c>
      <c r="C51" s="20">
        <v>0.0</v>
      </c>
      <c r="D51" s="19">
        <v>0.0</v>
      </c>
      <c r="E51" s="20">
        <v>0.0</v>
      </c>
      <c r="F51" s="21">
        <f t="shared" ref="F51:G51" si="35">SUM(B51+D51)</f>
        <v>0</v>
      </c>
      <c r="G51" s="20">
        <f t="shared" si="35"/>
        <v>0</v>
      </c>
    </row>
    <row r="52" ht="15.75" customHeight="1">
      <c r="A52" s="17" t="s">
        <v>46</v>
      </c>
      <c r="B52" s="40">
        <v>25.0</v>
      </c>
      <c r="C52" s="20">
        <v>28.73</v>
      </c>
      <c r="D52" s="19">
        <v>0.0</v>
      </c>
      <c r="E52" s="20">
        <v>0.0</v>
      </c>
      <c r="F52" s="21">
        <f t="shared" ref="F52:G52" si="36">SUM(B52+D52)</f>
        <v>25</v>
      </c>
      <c r="G52" s="20">
        <f t="shared" si="36"/>
        <v>28.73</v>
      </c>
    </row>
    <row r="53" ht="15.75" customHeight="1">
      <c r="A53" s="17" t="s">
        <v>47</v>
      </c>
      <c r="B53" s="40">
        <v>71.0</v>
      </c>
      <c r="C53" s="20">
        <v>74.98</v>
      </c>
      <c r="D53" s="19">
        <v>0.0</v>
      </c>
      <c r="E53" s="20">
        <v>0.0</v>
      </c>
      <c r="F53" s="21">
        <f t="shared" ref="F53:G53" si="37">SUM(B53+D53)</f>
        <v>71</v>
      </c>
      <c r="G53" s="20">
        <f t="shared" si="37"/>
        <v>74.98</v>
      </c>
    </row>
    <row r="54" ht="15.75" customHeight="1">
      <c r="A54" s="17" t="s">
        <v>48</v>
      </c>
      <c r="B54" s="40">
        <v>30.0</v>
      </c>
      <c r="C54" s="20">
        <v>34.35</v>
      </c>
      <c r="D54" s="19">
        <v>0.0</v>
      </c>
      <c r="E54" s="20">
        <v>0.0</v>
      </c>
      <c r="F54" s="21">
        <f t="shared" ref="F54:G54" si="38">SUM(B54+D54)</f>
        <v>30</v>
      </c>
      <c r="G54" s="20">
        <f t="shared" si="38"/>
        <v>34.35</v>
      </c>
    </row>
    <row r="55" ht="15.75" customHeight="1">
      <c r="A55" s="17" t="s">
        <v>49</v>
      </c>
      <c r="B55" s="40">
        <v>1.0</v>
      </c>
      <c r="C55" s="20">
        <v>3.5</v>
      </c>
      <c r="D55" s="19">
        <v>0.0</v>
      </c>
      <c r="E55" s="20">
        <v>0.0</v>
      </c>
      <c r="F55" s="21">
        <f t="shared" ref="F55:G55" si="39">SUM(B55+D55)</f>
        <v>1</v>
      </c>
      <c r="G55" s="20">
        <f t="shared" si="39"/>
        <v>3.5</v>
      </c>
    </row>
    <row r="56" ht="15.75" customHeight="1">
      <c r="A56" s="17" t="s">
        <v>50</v>
      </c>
      <c r="B56" s="40">
        <v>1.0</v>
      </c>
      <c r="C56" s="20">
        <v>2.8</v>
      </c>
      <c r="D56" s="19">
        <v>0.0</v>
      </c>
      <c r="E56" s="20">
        <v>0.0</v>
      </c>
      <c r="F56" s="21">
        <f t="shared" ref="F56:G56" si="40">SUM(B56+D56)</f>
        <v>1</v>
      </c>
      <c r="G56" s="20">
        <f t="shared" si="40"/>
        <v>2.8</v>
      </c>
    </row>
    <row r="57" ht="15.75" customHeight="1">
      <c r="A57" s="22" t="s">
        <v>11</v>
      </c>
      <c r="B57" s="41">
        <f>SUM(B50:B56)</f>
        <v>130</v>
      </c>
      <c r="C57" s="25">
        <v>146.96</v>
      </c>
      <c r="D57" s="42">
        <v>0.0</v>
      </c>
      <c r="E57" s="25">
        <f t="shared" ref="E57:G57" si="41">SUM(E50:E56)</f>
        <v>0</v>
      </c>
      <c r="F57" s="26">
        <f t="shared" si="41"/>
        <v>130</v>
      </c>
      <c r="G57" s="25">
        <f t="shared" si="41"/>
        <v>146.96</v>
      </c>
    </row>
    <row r="58" ht="15.75" customHeight="1">
      <c r="A58" s="15" t="s">
        <v>51</v>
      </c>
      <c r="B58" s="43"/>
      <c r="C58" s="29"/>
      <c r="D58" s="28"/>
      <c r="E58" s="29"/>
      <c r="F58" s="29"/>
      <c r="G58" s="29"/>
    </row>
    <row r="59" ht="15.75" customHeight="1">
      <c r="A59" s="17" t="s">
        <v>52</v>
      </c>
      <c r="B59" s="40">
        <v>9.0</v>
      </c>
      <c r="C59" s="20">
        <v>8.8</v>
      </c>
      <c r="D59" s="19">
        <v>0.0</v>
      </c>
      <c r="E59" s="20">
        <v>0.0</v>
      </c>
      <c r="F59" s="21">
        <f t="shared" ref="F59:G59" si="42">SUM(B59+D59)</f>
        <v>9</v>
      </c>
      <c r="G59" s="20">
        <f t="shared" si="42"/>
        <v>8.8</v>
      </c>
    </row>
    <row r="60" ht="15.75" customHeight="1">
      <c r="A60" s="17" t="s">
        <v>53</v>
      </c>
      <c r="B60" s="40">
        <v>5.0</v>
      </c>
      <c r="C60" s="20">
        <v>4.0</v>
      </c>
      <c r="D60" s="19">
        <v>0.0</v>
      </c>
      <c r="E60" s="20">
        <v>0.0</v>
      </c>
      <c r="F60" s="21">
        <f t="shared" ref="F60:G60" si="43">SUM(B60+D60)</f>
        <v>5</v>
      </c>
      <c r="G60" s="20">
        <f t="shared" si="43"/>
        <v>4</v>
      </c>
    </row>
    <row r="61" ht="15.75" customHeight="1">
      <c r="A61" s="17" t="s">
        <v>54</v>
      </c>
      <c r="B61" s="40">
        <v>8.0</v>
      </c>
      <c r="C61" s="20">
        <v>5.1</v>
      </c>
      <c r="D61" s="19">
        <v>0.0</v>
      </c>
      <c r="E61" s="20">
        <v>0.0</v>
      </c>
      <c r="F61" s="21">
        <f t="shared" ref="F61:G61" si="44">SUM(B61+D61)</f>
        <v>8</v>
      </c>
      <c r="G61" s="20">
        <f t="shared" si="44"/>
        <v>5.1</v>
      </c>
    </row>
    <row r="62" ht="15.75" customHeight="1">
      <c r="A62" s="17" t="s">
        <v>55</v>
      </c>
      <c r="B62" s="40">
        <v>35.0</v>
      </c>
      <c r="C62" s="20">
        <v>21.55</v>
      </c>
      <c r="D62" s="19">
        <v>0.0</v>
      </c>
      <c r="E62" s="20">
        <v>0.0</v>
      </c>
      <c r="F62" s="21">
        <f t="shared" ref="F62:G62" si="45">SUM(B62+D62)</f>
        <v>35</v>
      </c>
      <c r="G62" s="20">
        <f t="shared" si="45"/>
        <v>21.55</v>
      </c>
    </row>
    <row r="63" ht="15.75" customHeight="1">
      <c r="A63" s="17" t="s">
        <v>56</v>
      </c>
      <c r="B63" s="40">
        <v>2.0</v>
      </c>
      <c r="C63" s="20">
        <v>2.5</v>
      </c>
      <c r="D63" s="19">
        <v>0.0</v>
      </c>
      <c r="E63" s="20">
        <v>0.0</v>
      </c>
      <c r="F63" s="21">
        <f t="shared" ref="F63:G63" si="46">SUM(B63+D63)</f>
        <v>2</v>
      </c>
      <c r="G63" s="20">
        <f t="shared" si="46"/>
        <v>2.5</v>
      </c>
    </row>
    <row r="64" ht="15.75" customHeight="1">
      <c r="A64" s="17" t="s">
        <v>57</v>
      </c>
      <c r="B64" s="40">
        <v>2.0</v>
      </c>
      <c r="C64" s="20">
        <v>5.75</v>
      </c>
      <c r="D64" s="19">
        <v>0.0</v>
      </c>
      <c r="E64" s="20">
        <v>0.0</v>
      </c>
      <c r="F64" s="21">
        <f t="shared" ref="F64:G64" si="47">SUM(B64+D64)</f>
        <v>2</v>
      </c>
      <c r="G64" s="20">
        <f t="shared" si="47"/>
        <v>5.75</v>
      </c>
    </row>
    <row r="65" ht="15.75" customHeight="1">
      <c r="A65" s="22" t="s">
        <v>11</v>
      </c>
      <c r="B65" s="41">
        <f t="shared" ref="B65:G65" si="48">SUM(B59:B64)</f>
        <v>61</v>
      </c>
      <c r="C65" s="25">
        <f t="shared" si="48"/>
        <v>47.7</v>
      </c>
      <c r="D65" s="25">
        <f t="shared" si="48"/>
        <v>0</v>
      </c>
      <c r="E65" s="25">
        <f t="shared" si="48"/>
        <v>0</v>
      </c>
      <c r="F65" s="26">
        <f t="shared" si="48"/>
        <v>61</v>
      </c>
      <c r="G65" s="25">
        <f t="shared" si="48"/>
        <v>47.7</v>
      </c>
    </row>
    <row r="66" ht="15.75" customHeight="1">
      <c r="A66" s="15" t="s">
        <v>58</v>
      </c>
      <c r="B66" s="43"/>
      <c r="C66" s="29"/>
      <c r="D66" s="28"/>
      <c r="E66" s="29"/>
      <c r="F66" s="29"/>
      <c r="G66" s="29"/>
    </row>
    <row r="67" ht="15.75" customHeight="1">
      <c r="A67" s="17" t="s">
        <v>59</v>
      </c>
      <c r="B67" s="40">
        <v>1.0</v>
      </c>
      <c r="C67" s="20">
        <v>0.4</v>
      </c>
      <c r="D67" s="19">
        <v>0.0</v>
      </c>
      <c r="E67" s="20">
        <v>0.0</v>
      </c>
      <c r="F67" s="21">
        <f t="shared" ref="F67:G67" si="49">SUM(B67+D67)</f>
        <v>1</v>
      </c>
      <c r="G67" s="20">
        <f t="shared" si="49"/>
        <v>0.4</v>
      </c>
    </row>
    <row r="68" ht="15.75" customHeight="1">
      <c r="A68" s="17" t="s">
        <v>60</v>
      </c>
      <c r="B68" s="40">
        <v>4.0</v>
      </c>
      <c r="C68" s="20">
        <v>14.7</v>
      </c>
      <c r="D68" s="19">
        <v>0.0</v>
      </c>
      <c r="E68" s="20">
        <v>0.0</v>
      </c>
      <c r="F68" s="21">
        <f t="shared" ref="F68:G68" si="50">SUM(B68+D68)</f>
        <v>4</v>
      </c>
      <c r="G68" s="20">
        <f t="shared" si="50"/>
        <v>14.7</v>
      </c>
    </row>
    <row r="69" ht="15.75" customHeight="1">
      <c r="A69" s="17" t="s">
        <v>61</v>
      </c>
      <c r="B69" s="40">
        <v>12.0</v>
      </c>
      <c r="C69" s="20">
        <v>8.5</v>
      </c>
      <c r="D69" s="19">
        <v>0.0</v>
      </c>
      <c r="E69" s="20">
        <v>0.0</v>
      </c>
      <c r="F69" s="21">
        <f t="shared" ref="F69:G69" si="51">SUM(B69+D69)</f>
        <v>12</v>
      </c>
      <c r="G69" s="20">
        <f t="shared" si="51"/>
        <v>8.5</v>
      </c>
    </row>
    <row r="70" ht="15.75" customHeight="1">
      <c r="A70" s="22" t="s">
        <v>11</v>
      </c>
      <c r="B70" s="41">
        <f>SUM(B67:B69)</f>
        <v>17</v>
      </c>
      <c r="C70" s="25">
        <v>23.6</v>
      </c>
      <c r="D70" s="42">
        <v>0.0</v>
      </c>
      <c r="E70" s="25">
        <f t="shared" ref="E70:G70" si="52">SUM(E67:E69)</f>
        <v>0</v>
      </c>
      <c r="F70" s="26">
        <f t="shared" si="52"/>
        <v>17</v>
      </c>
      <c r="G70" s="25">
        <f t="shared" si="52"/>
        <v>23.6</v>
      </c>
    </row>
    <row r="71" ht="15.0" customHeight="1">
      <c r="A71" s="4" t="s">
        <v>1</v>
      </c>
      <c r="B71" s="5" t="s">
        <v>2</v>
      </c>
      <c r="C71" s="6"/>
      <c r="D71" s="6"/>
      <c r="E71" s="6"/>
      <c r="F71" s="7" t="s">
        <v>3</v>
      </c>
      <c r="G71" s="7" t="s">
        <v>4</v>
      </c>
    </row>
    <row r="72" ht="15.75" customHeight="1">
      <c r="A72" s="8"/>
      <c r="B72" s="9" t="s">
        <v>5</v>
      </c>
      <c r="C72" s="10"/>
      <c r="D72" s="9" t="s">
        <v>6</v>
      </c>
      <c r="E72" s="11"/>
      <c r="F72" s="8"/>
      <c r="G72" s="8"/>
    </row>
    <row r="73" ht="15.75" customHeight="1">
      <c r="A73" s="12"/>
      <c r="B73" s="13" t="s">
        <v>7</v>
      </c>
      <c r="C73" s="14" t="s">
        <v>8</v>
      </c>
      <c r="D73" s="13" t="s">
        <v>7</v>
      </c>
      <c r="E73" s="14" t="s">
        <v>8</v>
      </c>
      <c r="F73" s="12"/>
      <c r="G73" s="12"/>
    </row>
    <row r="74" ht="15.75" customHeight="1">
      <c r="A74" s="15" t="s">
        <v>62</v>
      </c>
      <c r="B74" s="43"/>
      <c r="C74" s="29"/>
      <c r="D74" s="28"/>
      <c r="E74" s="29"/>
      <c r="F74" s="29"/>
      <c r="G74" s="29"/>
    </row>
    <row r="75" ht="15.75" customHeight="1">
      <c r="A75" s="17" t="s">
        <v>63</v>
      </c>
      <c r="B75" s="40">
        <v>4.0</v>
      </c>
      <c r="C75" s="20">
        <v>6.75</v>
      </c>
      <c r="D75" s="19">
        <v>0.0</v>
      </c>
      <c r="E75" s="20">
        <v>0.0</v>
      </c>
      <c r="F75" s="21">
        <f t="shared" ref="F75:G75" si="53">SUM(B75+D75)</f>
        <v>4</v>
      </c>
      <c r="G75" s="20">
        <f t="shared" si="53"/>
        <v>6.75</v>
      </c>
    </row>
    <row r="76" ht="15.75" customHeight="1">
      <c r="A76" s="17" t="s">
        <v>64</v>
      </c>
      <c r="B76" s="40">
        <v>3.0</v>
      </c>
      <c r="C76" s="20">
        <v>1.3</v>
      </c>
      <c r="D76" s="19">
        <v>0.0</v>
      </c>
      <c r="E76" s="20">
        <v>0.0</v>
      </c>
      <c r="F76" s="21">
        <f t="shared" ref="F76:G76" si="54">SUM(B76+D76)</f>
        <v>3</v>
      </c>
      <c r="G76" s="20">
        <f t="shared" si="54"/>
        <v>1.3</v>
      </c>
    </row>
    <row r="77" ht="15.75" customHeight="1">
      <c r="A77" s="17" t="s">
        <v>65</v>
      </c>
      <c r="B77" s="40">
        <v>1.0</v>
      </c>
      <c r="C77" s="20">
        <v>3.0</v>
      </c>
      <c r="D77" s="19">
        <v>0.0</v>
      </c>
      <c r="E77" s="20">
        <v>0.0</v>
      </c>
      <c r="F77" s="21">
        <f t="shared" ref="F77:G77" si="55">SUM(B77+D77)</f>
        <v>1</v>
      </c>
      <c r="G77" s="20">
        <f t="shared" si="55"/>
        <v>3</v>
      </c>
    </row>
    <row r="78" ht="15.75" customHeight="1">
      <c r="A78" s="22" t="s">
        <v>11</v>
      </c>
      <c r="B78" s="41">
        <f>SUM(B75:B77)</f>
        <v>8</v>
      </c>
      <c r="C78" s="25">
        <v>11.05</v>
      </c>
      <c r="D78" s="42">
        <v>0.0</v>
      </c>
      <c r="E78" s="25">
        <f t="shared" ref="E78:G78" si="56">SUM(E75:E77)</f>
        <v>0</v>
      </c>
      <c r="F78" s="26">
        <f t="shared" si="56"/>
        <v>8</v>
      </c>
      <c r="G78" s="25">
        <f t="shared" si="56"/>
        <v>11.05</v>
      </c>
    </row>
    <row r="79" ht="15.75" customHeight="1">
      <c r="A79" s="17" t="s">
        <v>66</v>
      </c>
      <c r="B79" s="40"/>
      <c r="C79" s="20"/>
      <c r="D79" s="19"/>
      <c r="E79" s="20"/>
      <c r="F79" s="20"/>
      <c r="G79" s="20"/>
    </row>
    <row r="80" ht="15.75" customHeight="1">
      <c r="A80" s="17" t="s">
        <v>67</v>
      </c>
      <c r="B80" s="40">
        <v>41.0</v>
      </c>
      <c r="C80" s="20">
        <v>32.94</v>
      </c>
      <c r="D80" s="19">
        <v>0.0</v>
      </c>
      <c r="E80" s="20">
        <v>0.0</v>
      </c>
      <c r="F80" s="21">
        <f t="shared" ref="F80:G80" si="57">SUM(B80+D80)</f>
        <v>41</v>
      </c>
      <c r="G80" s="20">
        <f t="shared" si="57"/>
        <v>32.94</v>
      </c>
    </row>
    <row r="81" ht="15.75" customHeight="1">
      <c r="A81" s="17" t="s">
        <v>68</v>
      </c>
      <c r="B81" s="40">
        <v>0.0</v>
      </c>
      <c r="C81" s="20">
        <v>0.0</v>
      </c>
      <c r="D81" s="19">
        <v>0.0</v>
      </c>
      <c r="E81" s="20">
        <v>0.0</v>
      </c>
      <c r="F81" s="21">
        <f t="shared" ref="F81:G81" si="58">SUM(B81+D81)</f>
        <v>0</v>
      </c>
      <c r="G81" s="20">
        <f t="shared" si="58"/>
        <v>0</v>
      </c>
    </row>
    <row r="82" ht="15.75" customHeight="1">
      <c r="A82" s="17" t="s">
        <v>69</v>
      </c>
      <c r="B82" s="40">
        <v>12.0</v>
      </c>
      <c r="C82" s="20">
        <v>16.72</v>
      </c>
      <c r="D82" s="19">
        <v>0.0</v>
      </c>
      <c r="E82" s="20">
        <v>0.0</v>
      </c>
      <c r="F82" s="21">
        <f t="shared" ref="F82:G82" si="59">SUM(B82+D82)</f>
        <v>12</v>
      </c>
      <c r="G82" s="20">
        <f t="shared" si="59"/>
        <v>16.72</v>
      </c>
    </row>
    <row r="83" ht="15.75" customHeight="1">
      <c r="A83" s="17" t="s">
        <v>70</v>
      </c>
      <c r="B83" s="40">
        <v>2.0</v>
      </c>
      <c r="C83" s="20">
        <v>1.88</v>
      </c>
      <c r="D83" s="19">
        <v>0.0</v>
      </c>
      <c r="E83" s="20">
        <v>0.0</v>
      </c>
      <c r="F83" s="21">
        <f t="shared" ref="F83:G83" si="60">SUM(B83+D83)</f>
        <v>2</v>
      </c>
      <c r="G83" s="20">
        <f t="shared" si="60"/>
        <v>1.88</v>
      </c>
    </row>
    <row r="84" ht="15.75" customHeight="1">
      <c r="A84" s="17" t="s">
        <v>71</v>
      </c>
      <c r="B84" s="40">
        <v>0.0</v>
      </c>
      <c r="C84" s="20">
        <v>0.0</v>
      </c>
      <c r="D84" s="19">
        <v>0.0</v>
      </c>
      <c r="E84" s="20">
        <v>0.0</v>
      </c>
      <c r="F84" s="21">
        <f t="shared" ref="F84:G84" si="61">SUM(B84+D84)</f>
        <v>0</v>
      </c>
      <c r="G84" s="20">
        <f t="shared" si="61"/>
        <v>0</v>
      </c>
    </row>
    <row r="85" ht="15.75" customHeight="1">
      <c r="A85" s="17" t="s">
        <v>72</v>
      </c>
      <c r="B85" s="40">
        <v>0.0</v>
      </c>
      <c r="C85" s="20">
        <v>0.0</v>
      </c>
      <c r="D85" s="19">
        <v>0.0</v>
      </c>
      <c r="E85" s="20">
        <v>0.0</v>
      </c>
      <c r="F85" s="21">
        <f t="shared" ref="F85:G85" si="62">SUM(B85+D85)</f>
        <v>0</v>
      </c>
      <c r="G85" s="20">
        <f t="shared" si="62"/>
        <v>0</v>
      </c>
    </row>
    <row r="86" ht="15.75" customHeight="1">
      <c r="A86" s="22" t="s">
        <v>11</v>
      </c>
      <c r="B86" s="41">
        <f>SUM(B80:B85)</f>
        <v>55</v>
      </c>
      <c r="C86" s="25">
        <v>51.54</v>
      </c>
      <c r="D86" s="42">
        <v>0.0</v>
      </c>
      <c r="E86" s="25">
        <f t="shared" ref="E86:G86" si="63">SUM(E80:E85)</f>
        <v>0</v>
      </c>
      <c r="F86" s="26">
        <f t="shared" si="63"/>
        <v>55</v>
      </c>
      <c r="G86" s="25">
        <f t="shared" si="63"/>
        <v>51.54</v>
      </c>
    </row>
    <row r="87" ht="15.75" customHeight="1">
      <c r="A87" s="44" t="s">
        <v>73</v>
      </c>
      <c r="B87" s="23">
        <f t="shared" ref="B87:G87" si="64">SUM(B8+B13+B24+B29+B34+B48+B57+B65+B70+B78+B86)</f>
        <v>943</v>
      </c>
      <c r="C87" s="25">
        <f t="shared" si="64"/>
        <v>566.717</v>
      </c>
      <c r="D87" s="25">
        <f t="shared" si="64"/>
        <v>0</v>
      </c>
      <c r="E87" s="25">
        <f t="shared" si="64"/>
        <v>0</v>
      </c>
      <c r="F87" s="26">
        <f t="shared" si="64"/>
        <v>943</v>
      </c>
      <c r="G87" s="25">
        <f t="shared" si="64"/>
        <v>566.717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3:A5"/>
    <mergeCell ref="B3:E3"/>
    <mergeCell ref="F3:F5"/>
    <mergeCell ref="G3:G5"/>
    <mergeCell ref="B4:C4"/>
    <mergeCell ref="D4:E4"/>
    <mergeCell ref="A36:A38"/>
    <mergeCell ref="G36:G38"/>
    <mergeCell ref="B71:E71"/>
    <mergeCell ref="B72:C72"/>
    <mergeCell ref="D72:E72"/>
    <mergeCell ref="B36:E36"/>
    <mergeCell ref="F36:F38"/>
    <mergeCell ref="B37:C37"/>
    <mergeCell ref="D37:E37"/>
    <mergeCell ref="A71:A73"/>
    <mergeCell ref="F71:F73"/>
    <mergeCell ref="G71:G73"/>
  </mergeCells>
  <printOptions/>
  <pageMargins bottom="0.67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6" width="15.71"/>
    <col customWidth="1" min="7" max="7" width="15.86"/>
    <col customWidth="1" min="8" max="26" width="9.0"/>
  </cols>
  <sheetData>
    <row r="1">
      <c r="A1" s="1" t="s">
        <v>74</v>
      </c>
    </row>
    <row r="3" ht="15.0" customHeight="1">
      <c r="A3" s="5" t="s">
        <v>75</v>
      </c>
      <c r="B3" s="5" t="s">
        <v>2</v>
      </c>
      <c r="C3" s="6"/>
      <c r="D3" s="6"/>
      <c r="E3" s="6"/>
      <c r="F3" s="7" t="s">
        <v>3</v>
      </c>
      <c r="G3" s="7" t="s">
        <v>76</v>
      </c>
    </row>
    <row r="4">
      <c r="A4" s="45"/>
      <c r="B4" s="9" t="s">
        <v>5</v>
      </c>
      <c r="C4" s="10"/>
      <c r="D4" s="9" t="s">
        <v>6</v>
      </c>
      <c r="E4" s="11"/>
      <c r="F4" s="8"/>
      <c r="G4" s="8"/>
    </row>
    <row r="5">
      <c r="A5" s="46"/>
      <c r="B5" s="13" t="s">
        <v>7</v>
      </c>
      <c r="C5" s="14" t="s">
        <v>8</v>
      </c>
      <c r="D5" s="13" t="s">
        <v>7</v>
      </c>
      <c r="E5" s="14" t="s">
        <v>8</v>
      </c>
      <c r="F5" s="12"/>
      <c r="G5" s="12"/>
    </row>
    <row r="6">
      <c r="A6" s="5"/>
      <c r="B6" s="4"/>
      <c r="C6" s="47"/>
      <c r="D6" s="48"/>
      <c r="E6" s="47"/>
      <c r="F6" s="7"/>
      <c r="G6" s="7"/>
    </row>
    <row r="7" ht="19.5" customHeight="1">
      <c r="A7" s="49" t="s">
        <v>66</v>
      </c>
      <c r="B7" s="21">
        <v>55.0</v>
      </c>
      <c r="C7" s="19">
        <v>51.54</v>
      </c>
      <c r="D7" s="20">
        <v>0.0</v>
      </c>
      <c r="E7" s="19">
        <v>0.0</v>
      </c>
      <c r="F7" s="21">
        <f t="shared" ref="F7:G7" si="1">SUM(B7+D7)</f>
        <v>55</v>
      </c>
      <c r="G7" s="20">
        <f t="shared" si="1"/>
        <v>51.54</v>
      </c>
    </row>
    <row r="8" ht="19.5" customHeight="1">
      <c r="A8" s="49" t="s">
        <v>12</v>
      </c>
      <c r="B8" s="21">
        <v>37.0</v>
      </c>
      <c r="C8" s="19">
        <v>14.25</v>
      </c>
      <c r="D8" s="20">
        <v>0.0</v>
      </c>
      <c r="E8" s="19">
        <v>0.0</v>
      </c>
      <c r="F8" s="21">
        <f t="shared" ref="F8:G8" si="2">SUM(B8+D8)</f>
        <v>37</v>
      </c>
      <c r="G8" s="20">
        <f t="shared" si="2"/>
        <v>14.25</v>
      </c>
    </row>
    <row r="9" ht="19.5" customHeight="1">
      <c r="A9" s="49" t="s">
        <v>16</v>
      </c>
      <c r="B9" s="21">
        <v>169.0</v>
      </c>
      <c r="C9" s="19">
        <v>64.6</v>
      </c>
      <c r="D9" s="20">
        <v>0.0</v>
      </c>
      <c r="E9" s="19">
        <v>0.0</v>
      </c>
      <c r="F9" s="21">
        <f t="shared" ref="F9:G9" si="3">SUM(B9+D9)</f>
        <v>169</v>
      </c>
      <c r="G9" s="20">
        <f t="shared" si="3"/>
        <v>64.6</v>
      </c>
    </row>
    <row r="10" ht="19.5" customHeight="1">
      <c r="A10" s="49" t="s">
        <v>62</v>
      </c>
      <c r="B10" s="21">
        <v>8.0</v>
      </c>
      <c r="C10" s="19">
        <v>11.05</v>
      </c>
      <c r="D10" s="20">
        <v>0.0</v>
      </c>
      <c r="E10" s="19">
        <v>0.0</v>
      </c>
      <c r="F10" s="21">
        <f t="shared" ref="F10:G10" si="4">SUM(B10+D10)</f>
        <v>8</v>
      </c>
      <c r="G10" s="20">
        <f t="shared" si="4"/>
        <v>11.05</v>
      </c>
    </row>
    <row r="11" ht="19.5" customHeight="1">
      <c r="A11" s="49" t="s">
        <v>58</v>
      </c>
      <c r="B11" s="21">
        <v>17.0</v>
      </c>
      <c r="C11" s="19">
        <v>23.6</v>
      </c>
      <c r="D11" s="20">
        <v>0.0</v>
      </c>
      <c r="E11" s="19">
        <v>0.0</v>
      </c>
      <c r="F11" s="21">
        <f t="shared" ref="F11:G11" si="5">SUM(B11+D11)</f>
        <v>17</v>
      </c>
      <c r="G11" s="20">
        <f t="shared" si="5"/>
        <v>23.6</v>
      </c>
    </row>
    <row r="12" ht="19.5" customHeight="1">
      <c r="A12" s="49" t="s">
        <v>43</v>
      </c>
      <c r="B12" s="21">
        <v>130.0</v>
      </c>
      <c r="C12" s="19">
        <v>146.96</v>
      </c>
      <c r="D12" s="20">
        <v>0.0</v>
      </c>
      <c r="E12" s="19">
        <v>0.0</v>
      </c>
      <c r="F12" s="21">
        <f t="shared" ref="F12:G12" si="6">SUM(B12+D12)</f>
        <v>130</v>
      </c>
      <c r="G12" s="20">
        <f t="shared" si="6"/>
        <v>146.96</v>
      </c>
    </row>
    <row r="13" ht="19.5" customHeight="1">
      <c r="A13" s="49" t="s">
        <v>30</v>
      </c>
      <c r="B13" s="21">
        <v>10.0</v>
      </c>
      <c r="C13" s="19">
        <v>4.43</v>
      </c>
      <c r="D13" s="20">
        <v>0.0</v>
      </c>
      <c r="E13" s="19">
        <v>0.0</v>
      </c>
      <c r="F13" s="21">
        <f t="shared" ref="F13:G13" si="7">SUM(B13+D13)</f>
        <v>10</v>
      </c>
      <c r="G13" s="20">
        <f t="shared" si="7"/>
        <v>4.43</v>
      </c>
    </row>
    <row r="14" ht="19.5" customHeight="1">
      <c r="A14" s="49" t="s">
        <v>34</v>
      </c>
      <c r="B14" s="21">
        <v>424.0</v>
      </c>
      <c r="C14" s="19">
        <v>190.4</v>
      </c>
      <c r="D14" s="20">
        <v>0.0</v>
      </c>
      <c r="E14" s="19">
        <v>0.0</v>
      </c>
      <c r="F14" s="21">
        <f t="shared" ref="F14:G14" si="8">SUM(B14+D14)</f>
        <v>424</v>
      </c>
      <c r="G14" s="20">
        <f t="shared" si="8"/>
        <v>190.4</v>
      </c>
    </row>
    <row r="15" ht="19.5" customHeight="1">
      <c r="A15" s="49" t="s">
        <v>9</v>
      </c>
      <c r="B15" s="21">
        <v>21.0</v>
      </c>
      <c r="C15" s="19">
        <v>5.57</v>
      </c>
      <c r="D15" s="20">
        <v>0.0</v>
      </c>
      <c r="E15" s="19">
        <v>0.0</v>
      </c>
      <c r="F15" s="21">
        <f t="shared" ref="F15:G15" si="9">SUM(B15+D15)</f>
        <v>21</v>
      </c>
      <c r="G15" s="20">
        <f t="shared" si="9"/>
        <v>5.57</v>
      </c>
    </row>
    <row r="16" ht="19.5" customHeight="1">
      <c r="A16" s="49" t="s">
        <v>51</v>
      </c>
      <c r="B16" s="21">
        <v>61.0</v>
      </c>
      <c r="C16" s="19">
        <v>47.7</v>
      </c>
      <c r="D16" s="20">
        <v>0.0</v>
      </c>
      <c r="E16" s="19">
        <v>0.0</v>
      </c>
      <c r="F16" s="21">
        <f t="shared" ref="F16:G16" si="10">SUM(B16+D16)</f>
        <v>61</v>
      </c>
      <c r="G16" s="20">
        <f t="shared" si="10"/>
        <v>47.7</v>
      </c>
    </row>
    <row r="17" ht="19.5" customHeight="1">
      <c r="A17" s="49" t="s">
        <v>26</v>
      </c>
      <c r="B17" s="21">
        <v>11.0</v>
      </c>
      <c r="C17" s="19">
        <v>6.62</v>
      </c>
      <c r="D17" s="20">
        <v>0.0</v>
      </c>
      <c r="E17" s="19">
        <v>0.0</v>
      </c>
      <c r="F17" s="21">
        <f t="shared" ref="F17:G17" si="11">SUM(B17+D17)</f>
        <v>11</v>
      </c>
      <c r="G17" s="20">
        <f t="shared" si="11"/>
        <v>6.62</v>
      </c>
    </row>
    <row r="18" ht="19.5" customHeight="1">
      <c r="A18" s="49" t="s">
        <v>77</v>
      </c>
      <c r="B18" s="21">
        <v>2806.0</v>
      </c>
      <c r="C18" s="19">
        <v>3014.55</v>
      </c>
      <c r="D18" s="21">
        <v>117.0</v>
      </c>
      <c r="E18" s="19">
        <v>115.49</v>
      </c>
      <c r="F18" s="21">
        <f t="shared" ref="F18:G18" si="12">SUM(B18+D18)</f>
        <v>2923</v>
      </c>
      <c r="G18" s="20">
        <f t="shared" si="12"/>
        <v>3130.04</v>
      </c>
    </row>
    <row r="19" ht="19.5" customHeight="1">
      <c r="A19" s="49" t="s">
        <v>78</v>
      </c>
      <c r="B19" s="50">
        <v>1119.0</v>
      </c>
      <c r="C19" s="19">
        <v>1280.33</v>
      </c>
      <c r="D19" s="21">
        <v>23.0</v>
      </c>
      <c r="E19" s="19">
        <v>11.86</v>
      </c>
      <c r="F19" s="21">
        <f t="shared" ref="F19:G19" si="13">SUM(B19+D19)</f>
        <v>1142</v>
      </c>
      <c r="G19" s="20">
        <f t="shared" si="13"/>
        <v>1292.19</v>
      </c>
    </row>
    <row r="20">
      <c r="A20" s="51"/>
      <c r="B20" s="50"/>
      <c r="C20" s="19"/>
      <c r="D20" s="21"/>
      <c r="E20" s="19"/>
      <c r="F20" s="52"/>
      <c r="G20" s="52"/>
    </row>
    <row r="21" ht="26.25" customHeight="1">
      <c r="A21" s="53" t="s">
        <v>79</v>
      </c>
      <c r="B21" s="26">
        <f t="shared" ref="B21:F21" si="14">SUM(B7:B19)</f>
        <v>4868</v>
      </c>
      <c r="C21" s="24">
        <f t="shared" si="14"/>
        <v>4861.6</v>
      </c>
      <c r="D21" s="26">
        <f t="shared" si="14"/>
        <v>140</v>
      </c>
      <c r="E21" s="24">
        <f t="shared" si="14"/>
        <v>127.35</v>
      </c>
      <c r="F21" s="26">
        <f t="shared" si="14"/>
        <v>5008</v>
      </c>
      <c r="G21" s="25">
        <f>SUM(G7:G20)</f>
        <v>4988.95</v>
      </c>
    </row>
    <row r="22" ht="15.75" customHeight="1"/>
    <row r="23" ht="15.75" customHeight="1"/>
    <row r="24" ht="15.75" customHeight="1">
      <c r="C24" s="1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B3:E3"/>
    <mergeCell ref="F3:F5"/>
    <mergeCell ref="G3:G5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7" width="15.71"/>
    <col customWidth="1" min="8" max="26" width="9.0"/>
  </cols>
  <sheetData>
    <row r="1">
      <c r="A1" s="1" t="s">
        <v>80</v>
      </c>
    </row>
    <row r="3" ht="15.0" customHeight="1">
      <c r="A3" s="54" t="s">
        <v>81</v>
      </c>
      <c r="B3" s="5" t="s">
        <v>2</v>
      </c>
      <c r="C3" s="6"/>
      <c r="D3" s="6"/>
      <c r="E3" s="6"/>
      <c r="F3" s="7" t="s">
        <v>3</v>
      </c>
      <c r="G3" s="7" t="s">
        <v>4</v>
      </c>
    </row>
    <row r="4">
      <c r="A4" s="8"/>
      <c r="B4" s="9" t="s">
        <v>5</v>
      </c>
      <c r="C4" s="10"/>
      <c r="D4" s="9" t="s">
        <v>6</v>
      </c>
      <c r="E4" s="11"/>
      <c r="F4" s="8"/>
      <c r="G4" s="8"/>
    </row>
    <row r="5">
      <c r="A5" s="12"/>
      <c r="B5" s="13" t="s">
        <v>7</v>
      </c>
      <c r="C5" s="14" t="s">
        <v>8</v>
      </c>
      <c r="D5" s="13" t="s">
        <v>7</v>
      </c>
      <c r="E5" s="14" t="s">
        <v>8</v>
      </c>
      <c r="F5" s="12"/>
      <c r="G5" s="12"/>
    </row>
    <row r="6" ht="11.25" customHeight="1">
      <c r="A6" s="17"/>
      <c r="B6" s="40"/>
      <c r="C6" s="20"/>
      <c r="D6" s="19"/>
      <c r="E6" s="20"/>
      <c r="F6" s="20"/>
      <c r="G6" s="20"/>
    </row>
    <row r="7" ht="18.0" customHeight="1">
      <c r="A7" s="17" t="s">
        <v>82</v>
      </c>
      <c r="B7" s="55">
        <v>116.0</v>
      </c>
      <c r="C7" s="20">
        <v>179.7</v>
      </c>
      <c r="D7" s="55">
        <v>0.0</v>
      </c>
      <c r="E7" s="20">
        <v>0.0</v>
      </c>
      <c r="F7" s="55">
        <f t="shared" ref="F7:G7" si="1">SUM(B7+D7)</f>
        <v>116</v>
      </c>
      <c r="G7" s="20">
        <f t="shared" si="1"/>
        <v>179.7</v>
      </c>
    </row>
    <row r="8" ht="18.0" customHeight="1">
      <c r="A8" s="17" t="s">
        <v>83</v>
      </c>
      <c r="B8" s="55">
        <v>4.0</v>
      </c>
      <c r="C8" s="20">
        <v>7.4</v>
      </c>
      <c r="D8" s="55">
        <v>0.0</v>
      </c>
      <c r="E8" s="20">
        <v>0.0</v>
      </c>
      <c r="F8" s="55">
        <f t="shared" ref="F8:G8" si="2">SUM(B8+D8)</f>
        <v>4</v>
      </c>
      <c r="G8" s="20">
        <f t="shared" si="2"/>
        <v>7.4</v>
      </c>
    </row>
    <row r="9" ht="18.0" customHeight="1">
      <c r="A9" s="17" t="s">
        <v>84</v>
      </c>
      <c r="B9" s="55">
        <v>8.0</v>
      </c>
      <c r="C9" s="20">
        <v>5.7</v>
      </c>
      <c r="D9" s="55">
        <v>0.0</v>
      </c>
      <c r="E9" s="20">
        <v>0.0</v>
      </c>
      <c r="F9" s="55">
        <f t="shared" ref="F9:G9" si="3">SUM(B9+D9)</f>
        <v>8</v>
      </c>
      <c r="G9" s="20">
        <f t="shared" si="3"/>
        <v>5.7</v>
      </c>
    </row>
    <row r="10" ht="18.0" customHeight="1">
      <c r="A10" s="17" t="s">
        <v>85</v>
      </c>
      <c r="B10" s="55">
        <v>0.0</v>
      </c>
      <c r="C10" s="20">
        <v>0.0</v>
      </c>
      <c r="D10" s="55">
        <v>0.0</v>
      </c>
      <c r="E10" s="20">
        <v>0.0</v>
      </c>
      <c r="F10" s="55">
        <f t="shared" ref="F10:G10" si="4">SUM(B10+D10)</f>
        <v>0</v>
      </c>
      <c r="G10" s="20">
        <f t="shared" si="4"/>
        <v>0</v>
      </c>
    </row>
    <row r="11" ht="18.0" customHeight="1">
      <c r="A11" s="17" t="s">
        <v>86</v>
      </c>
      <c r="B11" s="55">
        <v>2.0</v>
      </c>
      <c r="C11" s="20">
        <v>1.5</v>
      </c>
      <c r="D11" s="55">
        <v>0.0</v>
      </c>
      <c r="E11" s="20">
        <v>0.0</v>
      </c>
      <c r="F11" s="55">
        <f t="shared" ref="F11:G11" si="5">SUM(B11+D11)</f>
        <v>2</v>
      </c>
      <c r="G11" s="20">
        <f t="shared" si="5"/>
        <v>1.5</v>
      </c>
    </row>
    <row r="12" ht="18.0" customHeight="1">
      <c r="A12" s="17" t="s">
        <v>87</v>
      </c>
      <c r="B12" s="55">
        <v>90.0</v>
      </c>
      <c r="C12" s="20">
        <v>64.8</v>
      </c>
      <c r="D12" s="55">
        <v>0.0</v>
      </c>
      <c r="E12" s="20">
        <v>0.0</v>
      </c>
      <c r="F12" s="55">
        <f t="shared" ref="F12:G12" si="6">SUM(B12+D12)</f>
        <v>90</v>
      </c>
      <c r="G12" s="20">
        <f t="shared" si="6"/>
        <v>64.8</v>
      </c>
    </row>
    <row r="13" ht="18.0" customHeight="1">
      <c r="A13" s="17" t="s">
        <v>88</v>
      </c>
      <c r="B13" s="55">
        <v>14.0</v>
      </c>
      <c r="C13" s="20">
        <v>15.0</v>
      </c>
      <c r="D13" s="55">
        <v>0.0</v>
      </c>
      <c r="E13" s="20">
        <v>0.0</v>
      </c>
      <c r="F13" s="55">
        <f t="shared" ref="F13:G13" si="7">SUM(B13+D13)</f>
        <v>14</v>
      </c>
      <c r="G13" s="20">
        <f t="shared" si="7"/>
        <v>15</v>
      </c>
    </row>
    <row r="14" ht="18.0" customHeight="1">
      <c r="A14" s="17" t="s">
        <v>89</v>
      </c>
      <c r="B14" s="55">
        <v>2.0</v>
      </c>
      <c r="C14" s="20">
        <v>2.0</v>
      </c>
      <c r="D14" s="55">
        <v>0.0</v>
      </c>
      <c r="E14" s="20">
        <v>0.0</v>
      </c>
      <c r="F14" s="55">
        <f t="shared" ref="F14:G14" si="8">SUM(B14+D14)</f>
        <v>2</v>
      </c>
      <c r="G14" s="20">
        <f t="shared" si="8"/>
        <v>2</v>
      </c>
    </row>
    <row r="15" ht="18.0" customHeight="1">
      <c r="A15" s="17" t="s">
        <v>90</v>
      </c>
      <c r="B15" s="55">
        <v>215.0</v>
      </c>
      <c r="C15" s="20">
        <v>232.6</v>
      </c>
      <c r="D15" s="55">
        <v>14.0</v>
      </c>
      <c r="E15" s="20">
        <v>14.0</v>
      </c>
      <c r="F15" s="55">
        <f t="shared" ref="F15:G15" si="9">SUM(B15+D15)</f>
        <v>229</v>
      </c>
      <c r="G15" s="20">
        <f t="shared" si="9"/>
        <v>246.6</v>
      </c>
    </row>
    <row r="16" ht="18.0" customHeight="1">
      <c r="A16" s="17" t="s">
        <v>91</v>
      </c>
      <c r="B16" s="55">
        <v>2.0</v>
      </c>
      <c r="C16" s="20">
        <v>2.0</v>
      </c>
      <c r="D16" s="55">
        <v>0.0</v>
      </c>
      <c r="E16" s="20">
        <v>0.0</v>
      </c>
      <c r="F16" s="55">
        <f t="shared" ref="F16:G16" si="10">SUM(B16+D16)</f>
        <v>2</v>
      </c>
      <c r="G16" s="20">
        <f t="shared" si="10"/>
        <v>2</v>
      </c>
    </row>
    <row r="17" ht="18.0" customHeight="1">
      <c r="A17" s="17" t="s">
        <v>92</v>
      </c>
      <c r="B17" s="55">
        <v>17.0</v>
      </c>
      <c r="C17" s="20">
        <v>19.0</v>
      </c>
      <c r="D17" s="55">
        <v>1.0</v>
      </c>
      <c r="E17" s="20">
        <v>1.0</v>
      </c>
      <c r="F17" s="55">
        <f t="shared" ref="F17:G17" si="11">SUM(B17+D17)</f>
        <v>18</v>
      </c>
      <c r="G17" s="20">
        <f t="shared" si="11"/>
        <v>20</v>
      </c>
    </row>
    <row r="18" ht="18.0" customHeight="1">
      <c r="A18" s="17" t="s">
        <v>93</v>
      </c>
      <c r="B18" s="55">
        <v>238.0</v>
      </c>
      <c r="C18" s="20">
        <v>246.03</v>
      </c>
      <c r="D18" s="55">
        <v>18.0</v>
      </c>
      <c r="E18" s="20">
        <v>17.5</v>
      </c>
      <c r="F18" s="55">
        <f t="shared" ref="F18:G18" si="12">SUM(B18+D18)</f>
        <v>256</v>
      </c>
      <c r="G18" s="20">
        <f t="shared" si="12"/>
        <v>263.53</v>
      </c>
    </row>
    <row r="19" ht="18.0" customHeight="1">
      <c r="A19" s="17" t="s">
        <v>94</v>
      </c>
      <c r="B19" s="55">
        <v>961.0</v>
      </c>
      <c r="C19" s="20">
        <v>1042.71</v>
      </c>
      <c r="D19" s="55">
        <v>54.0</v>
      </c>
      <c r="E19" s="20">
        <v>56.0</v>
      </c>
      <c r="F19" s="55">
        <f t="shared" ref="F19:G19" si="13">SUM(B19+D19)</f>
        <v>1015</v>
      </c>
      <c r="G19" s="20">
        <f t="shared" si="13"/>
        <v>1098.71</v>
      </c>
    </row>
    <row r="20" ht="18.0" customHeight="1">
      <c r="A20" s="17" t="s">
        <v>95</v>
      </c>
      <c r="B20" s="55">
        <v>46.0</v>
      </c>
      <c r="C20" s="20">
        <v>49.5</v>
      </c>
      <c r="D20" s="55">
        <v>0.0</v>
      </c>
      <c r="E20" s="20">
        <v>0.0</v>
      </c>
      <c r="F20" s="55">
        <f t="shared" ref="F20:G20" si="14">SUM(B20+D20)</f>
        <v>46</v>
      </c>
      <c r="G20" s="20">
        <f t="shared" si="14"/>
        <v>49.5</v>
      </c>
    </row>
    <row r="21" ht="18.0" customHeight="1">
      <c r="A21" s="17" t="s">
        <v>96</v>
      </c>
      <c r="B21" s="55">
        <v>133.0</v>
      </c>
      <c r="C21" s="20">
        <v>139.1</v>
      </c>
      <c r="D21" s="55">
        <v>5.0</v>
      </c>
      <c r="E21" s="20">
        <v>3.11</v>
      </c>
      <c r="F21" s="55">
        <f t="shared" ref="F21:G21" si="15">SUM(B21+D21)</f>
        <v>138</v>
      </c>
      <c r="G21" s="20">
        <f t="shared" si="15"/>
        <v>142.21</v>
      </c>
    </row>
    <row r="22" ht="18.0" customHeight="1">
      <c r="A22" s="17" t="s">
        <v>97</v>
      </c>
      <c r="B22" s="55">
        <v>8.0</v>
      </c>
      <c r="C22" s="20">
        <v>8.0</v>
      </c>
      <c r="D22" s="55">
        <v>0.0</v>
      </c>
      <c r="E22" s="20">
        <v>0.0</v>
      </c>
      <c r="F22" s="55">
        <f t="shared" ref="F22:G22" si="16">SUM(B22+D22)</f>
        <v>8</v>
      </c>
      <c r="G22" s="20">
        <f t="shared" si="16"/>
        <v>8</v>
      </c>
    </row>
    <row r="23" ht="18.0" customHeight="1">
      <c r="A23" s="17" t="s">
        <v>98</v>
      </c>
      <c r="B23" s="55">
        <v>18.0</v>
      </c>
      <c r="C23" s="20">
        <v>18.0</v>
      </c>
      <c r="D23" s="55">
        <v>0.0</v>
      </c>
      <c r="E23" s="20">
        <v>0.0</v>
      </c>
      <c r="F23" s="55">
        <f t="shared" ref="F23:G23" si="17">SUM(B23+D23)</f>
        <v>18</v>
      </c>
      <c r="G23" s="20">
        <f t="shared" si="17"/>
        <v>18</v>
      </c>
    </row>
    <row r="24" ht="18.0" customHeight="1">
      <c r="A24" s="17" t="s">
        <v>99</v>
      </c>
      <c r="B24" s="55">
        <v>24.0</v>
      </c>
      <c r="C24" s="20">
        <v>24.0</v>
      </c>
      <c r="D24" s="55">
        <v>0.0</v>
      </c>
      <c r="E24" s="20">
        <v>0.0</v>
      </c>
      <c r="F24" s="55">
        <f t="shared" ref="F24:G24" si="18">SUM(B24+D24)</f>
        <v>24</v>
      </c>
      <c r="G24" s="20">
        <f t="shared" si="18"/>
        <v>24</v>
      </c>
    </row>
    <row r="25" ht="18.0" customHeight="1">
      <c r="A25" s="17" t="s">
        <v>100</v>
      </c>
      <c r="B25" s="55">
        <v>1.0</v>
      </c>
      <c r="C25" s="20">
        <v>1.0</v>
      </c>
      <c r="D25" s="55">
        <v>0.0</v>
      </c>
      <c r="E25" s="20">
        <v>0.0</v>
      </c>
      <c r="F25" s="55">
        <f t="shared" ref="F25:G25" si="19">SUM(B25+D25)</f>
        <v>1</v>
      </c>
      <c r="G25" s="20">
        <f t="shared" si="19"/>
        <v>1</v>
      </c>
    </row>
    <row r="26" ht="18.0" customHeight="1">
      <c r="A26" s="17" t="s">
        <v>101</v>
      </c>
      <c r="B26" s="55">
        <v>242.0</v>
      </c>
      <c r="C26" s="20">
        <v>242.7</v>
      </c>
      <c r="D26" s="55">
        <v>2.0</v>
      </c>
      <c r="E26" s="20">
        <v>3.0</v>
      </c>
      <c r="F26" s="55">
        <f t="shared" ref="F26:G26" si="20">SUM(B26+D26)</f>
        <v>244</v>
      </c>
      <c r="G26" s="20">
        <f t="shared" si="20"/>
        <v>245.7</v>
      </c>
    </row>
    <row r="27" ht="18.0" customHeight="1">
      <c r="A27" s="17" t="s">
        <v>102</v>
      </c>
      <c r="B27" s="55">
        <v>197.0</v>
      </c>
      <c r="C27" s="20">
        <v>216.01</v>
      </c>
      <c r="D27" s="55">
        <v>6.0</v>
      </c>
      <c r="E27" s="20">
        <v>5.2</v>
      </c>
      <c r="F27" s="55">
        <f t="shared" ref="F27:G27" si="21">SUM(B27+D27)</f>
        <v>203</v>
      </c>
      <c r="G27" s="20">
        <f t="shared" si="21"/>
        <v>221.21</v>
      </c>
    </row>
    <row r="28" ht="18.0" customHeight="1">
      <c r="A28" s="17" t="s">
        <v>103</v>
      </c>
      <c r="B28" s="55">
        <v>126.0</v>
      </c>
      <c r="C28" s="20">
        <v>134.73</v>
      </c>
      <c r="D28" s="55">
        <v>8.0</v>
      </c>
      <c r="E28" s="20">
        <v>6.8</v>
      </c>
      <c r="F28" s="55">
        <f t="shared" ref="F28:G28" si="22">SUM(B28+D28)</f>
        <v>134</v>
      </c>
      <c r="G28" s="20">
        <f t="shared" si="22"/>
        <v>141.53</v>
      </c>
    </row>
    <row r="29" ht="18.0" customHeight="1">
      <c r="A29" s="17" t="s">
        <v>104</v>
      </c>
      <c r="B29" s="55">
        <v>28.0</v>
      </c>
      <c r="C29" s="20">
        <v>26.5</v>
      </c>
      <c r="D29" s="55">
        <v>1.0</v>
      </c>
      <c r="E29" s="20">
        <v>0.5</v>
      </c>
      <c r="F29" s="55">
        <f t="shared" ref="F29:G29" si="23">SUM(B29+D29)</f>
        <v>29</v>
      </c>
      <c r="G29" s="20">
        <f t="shared" si="23"/>
        <v>27</v>
      </c>
    </row>
    <row r="30" ht="18.0" customHeight="1">
      <c r="A30" s="17" t="s">
        <v>105</v>
      </c>
      <c r="B30" s="55">
        <v>0.0</v>
      </c>
      <c r="C30" s="20">
        <v>0.0</v>
      </c>
      <c r="D30" s="55">
        <v>0.0</v>
      </c>
      <c r="E30" s="20">
        <v>0.0</v>
      </c>
      <c r="F30" s="55">
        <f t="shared" ref="F30:G30" si="24">SUM(B30+D30)</f>
        <v>0</v>
      </c>
      <c r="G30" s="20">
        <f t="shared" si="24"/>
        <v>0</v>
      </c>
    </row>
    <row r="31" ht="18.0" customHeight="1">
      <c r="A31" s="17" t="s">
        <v>106</v>
      </c>
      <c r="B31" s="55">
        <v>110.0</v>
      </c>
      <c r="C31" s="20">
        <v>118.0</v>
      </c>
      <c r="D31" s="55">
        <v>8.0</v>
      </c>
      <c r="E31" s="20">
        <v>8.38</v>
      </c>
      <c r="F31" s="55">
        <f t="shared" ref="F31:G31" si="25">SUM(B31+D31)</f>
        <v>118</v>
      </c>
      <c r="G31" s="20">
        <f t="shared" si="25"/>
        <v>126.38</v>
      </c>
    </row>
    <row r="32" ht="18.0" customHeight="1">
      <c r="A32" s="56" t="s">
        <v>107</v>
      </c>
      <c r="B32" s="55">
        <v>204.0</v>
      </c>
      <c r="C32" s="20">
        <v>218.57</v>
      </c>
      <c r="D32" s="55">
        <v>0.0</v>
      </c>
      <c r="E32" s="20">
        <v>0.0</v>
      </c>
      <c r="F32" s="55">
        <f t="shared" ref="F32:G32" si="26">SUM(B32+D32)</f>
        <v>204</v>
      </c>
      <c r="G32" s="20">
        <f t="shared" si="26"/>
        <v>218.57</v>
      </c>
    </row>
    <row r="33" ht="22.5" customHeight="1">
      <c r="A33" s="57" t="s">
        <v>108</v>
      </c>
      <c r="B33" s="58">
        <f t="shared" ref="B33:G33" si="27">SUM(B7:B32)</f>
        <v>2806</v>
      </c>
      <c r="C33" s="25">
        <f t="shared" si="27"/>
        <v>3014.55</v>
      </c>
      <c r="D33" s="59">
        <f t="shared" si="27"/>
        <v>117</v>
      </c>
      <c r="E33" s="25">
        <f t="shared" si="27"/>
        <v>115.49</v>
      </c>
      <c r="F33" s="26">
        <f t="shared" si="27"/>
        <v>2923</v>
      </c>
      <c r="G33" s="25">
        <f t="shared" si="27"/>
        <v>3130.04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B3:E3"/>
    <mergeCell ref="F3:F5"/>
    <mergeCell ref="G3:G5"/>
    <mergeCell ref="B4:C4"/>
    <mergeCell ref="D4:E4"/>
  </mergeCells>
  <printOptions/>
  <pageMargins bottom="0.29" footer="0.0" header="0.0" left="0.7" right="0.7" top="0.39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7" width="15.71"/>
    <col customWidth="1" min="8" max="26" width="9.0"/>
  </cols>
  <sheetData>
    <row r="1">
      <c r="A1" s="1" t="s">
        <v>109</v>
      </c>
    </row>
    <row r="2">
      <c r="A2" s="60"/>
      <c r="B2" s="38"/>
      <c r="C2" s="33"/>
      <c r="D2" s="33"/>
      <c r="E2" s="33"/>
      <c r="F2" s="2"/>
    </row>
    <row r="3" ht="15.0" customHeight="1">
      <c r="A3" s="54" t="s">
        <v>81</v>
      </c>
      <c r="B3" s="5" t="s">
        <v>2</v>
      </c>
      <c r="C3" s="6"/>
      <c r="D3" s="6"/>
      <c r="E3" s="6"/>
      <c r="F3" s="7" t="s">
        <v>3</v>
      </c>
      <c r="G3" s="7" t="s">
        <v>4</v>
      </c>
    </row>
    <row r="4" ht="18.75" customHeight="1">
      <c r="A4" s="8"/>
      <c r="B4" s="9" t="s">
        <v>5</v>
      </c>
      <c r="C4" s="10"/>
      <c r="D4" s="9" t="s">
        <v>6</v>
      </c>
      <c r="E4" s="11"/>
      <c r="F4" s="8"/>
      <c r="G4" s="8"/>
    </row>
    <row r="5" ht="30.75" customHeight="1">
      <c r="A5" s="12"/>
      <c r="B5" s="13" t="s">
        <v>7</v>
      </c>
      <c r="C5" s="14" t="s">
        <v>8</v>
      </c>
      <c r="D5" s="13" t="s">
        <v>7</v>
      </c>
      <c r="E5" s="14" t="s">
        <v>8</v>
      </c>
      <c r="F5" s="12"/>
      <c r="G5" s="12"/>
    </row>
    <row r="6" ht="12.0" customHeight="1">
      <c r="A6" s="17"/>
      <c r="B6" s="40"/>
      <c r="C6" s="20"/>
      <c r="D6" s="19"/>
      <c r="E6" s="20"/>
      <c r="F6" s="29"/>
      <c r="G6" s="29"/>
    </row>
    <row r="7" ht="18.0" customHeight="1">
      <c r="A7" s="17" t="s">
        <v>110</v>
      </c>
      <c r="B7" s="40">
        <v>129.0</v>
      </c>
      <c r="C7" s="20">
        <v>143.3</v>
      </c>
      <c r="D7" s="19">
        <v>0.0</v>
      </c>
      <c r="E7" s="20">
        <v>0.0</v>
      </c>
      <c r="F7" s="21">
        <f t="shared" ref="F7:G7" si="1">SUM(B7+D7)</f>
        <v>129</v>
      </c>
      <c r="G7" s="20">
        <f t="shared" si="1"/>
        <v>143.3</v>
      </c>
    </row>
    <row r="8" ht="18.0" customHeight="1">
      <c r="A8" s="17" t="s">
        <v>111</v>
      </c>
      <c r="B8" s="40">
        <v>6.0</v>
      </c>
      <c r="C8" s="20">
        <v>6.2</v>
      </c>
      <c r="D8" s="61">
        <v>1.0</v>
      </c>
      <c r="E8" s="20">
        <v>1.0</v>
      </c>
      <c r="F8" s="21">
        <f t="shared" ref="F8:G8" si="2">SUM(B8+D8)</f>
        <v>7</v>
      </c>
      <c r="G8" s="20">
        <f t="shared" si="2"/>
        <v>7.2</v>
      </c>
    </row>
    <row r="9" ht="18.0" customHeight="1">
      <c r="A9" s="17" t="s">
        <v>112</v>
      </c>
      <c r="B9" s="40">
        <v>2.0</v>
      </c>
      <c r="C9" s="20">
        <v>2.0</v>
      </c>
      <c r="D9" s="61">
        <v>0.0</v>
      </c>
      <c r="E9" s="20">
        <v>0.0</v>
      </c>
      <c r="F9" s="21">
        <f t="shared" ref="F9:G9" si="3">SUM(B9+D9)</f>
        <v>2</v>
      </c>
      <c r="G9" s="20">
        <f t="shared" si="3"/>
        <v>2</v>
      </c>
    </row>
    <row r="10" ht="18.0" customHeight="1">
      <c r="A10" s="17" t="s">
        <v>113</v>
      </c>
      <c r="B10" s="40">
        <v>4.0</v>
      </c>
      <c r="C10" s="20">
        <v>4.0</v>
      </c>
      <c r="D10" s="61">
        <v>0.0</v>
      </c>
      <c r="E10" s="20">
        <v>0.0</v>
      </c>
      <c r="F10" s="21">
        <f t="shared" ref="F10:G10" si="4">SUM(B10+D10)</f>
        <v>4</v>
      </c>
      <c r="G10" s="20">
        <f t="shared" si="4"/>
        <v>4</v>
      </c>
    </row>
    <row r="11" ht="18.0" customHeight="1">
      <c r="A11" s="17" t="s">
        <v>114</v>
      </c>
      <c r="B11" s="40">
        <v>300.0</v>
      </c>
      <c r="C11" s="20">
        <v>411.7</v>
      </c>
      <c r="D11" s="61">
        <v>0.0</v>
      </c>
      <c r="E11" s="20">
        <v>0.0</v>
      </c>
      <c r="F11" s="21">
        <f t="shared" ref="F11:G11" si="5">SUM(B11+D11)</f>
        <v>300</v>
      </c>
      <c r="G11" s="20">
        <f t="shared" si="5"/>
        <v>411.7</v>
      </c>
    </row>
    <row r="12" ht="18.0" customHeight="1">
      <c r="A12" s="17" t="s">
        <v>115</v>
      </c>
      <c r="B12" s="40">
        <v>97.0</v>
      </c>
      <c r="C12" s="20">
        <v>115.97</v>
      </c>
      <c r="D12" s="61">
        <v>0.0</v>
      </c>
      <c r="E12" s="20">
        <v>0.0</v>
      </c>
      <c r="F12" s="21">
        <f t="shared" ref="F12:G12" si="6">SUM(B12+D12)</f>
        <v>97</v>
      </c>
      <c r="G12" s="20">
        <f t="shared" si="6"/>
        <v>115.97</v>
      </c>
    </row>
    <row r="13" ht="18.0" customHeight="1">
      <c r="A13" s="17" t="s">
        <v>116</v>
      </c>
      <c r="B13" s="40">
        <v>62.0</v>
      </c>
      <c r="C13" s="20">
        <v>61.7</v>
      </c>
      <c r="D13" s="61">
        <v>0.0</v>
      </c>
      <c r="E13" s="20">
        <v>0.0</v>
      </c>
      <c r="F13" s="21">
        <f t="shared" ref="F13:G13" si="7">SUM(B13+D13)</f>
        <v>62</v>
      </c>
      <c r="G13" s="20">
        <f t="shared" si="7"/>
        <v>61.7</v>
      </c>
    </row>
    <row r="14" ht="18.0" customHeight="1">
      <c r="A14" s="17" t="s">
        <v>117</v>
      </c>
      <c r="B14" s="40">
        <v>92.0</v>
      </c>
      <c r="C14" s="20">
        <v>96.15</v>
      </c>
      <c r="D14" s="61">
        <v>15.0</v>
      </c>
      <c r="E14" s="20">
        <v>4.56</v>
      </c>
      <c r="F14" s="21">
        <f t="shared" ref="F14:G14" si="8">SUM(B14+D14)</f>
        <v>107</v>
      </c>
      <c r="G14" s="20">
        <f t="shared" si="8"/>
        <v>100.71</v>
      </c>
    </row>
    <row r="15" ht="18.0" customHeight="1">
      <c r="A15" s="17" t="s">
        <v>118</v>
      </c>
      <c r="B15" s="40">
        <v>41.0</v>
      </c>
      <c r="C15" s="20">
        <v>38.15</v>
      </c>
      <c r="D15" s="61">
        <v>0.0</v>
      </c>
      <c r="E15" s="20">
        <v>0.0</v>
      </c>
      <c r="F15" s="21">
        <f t="shared" ref="F15:G15" si="9">SUM(B15+D15)</f>
        <v>41</v>
      </c>
      <c r="G15" s="20">
        <f t="shared" si="9"/>
        <v>38.15</v>
      </c>
    </row>
    <row r="16" ht="18.0" customHeight="1">
      <c r="A16" s="17" t="s">
        <v>119</v>
      </c>
      <c r="B16" s="40">
        <v>44.0</v>
      </c>
      <c r="C16" s="20">
        <v>48.5</v>
      </c>
      <c r="D16" s="61">
        <v>1.0</v>
      </c>
      <c r="E16" s="20">
        <v>1.0</v>
      </c>
      <c r="F16" s="21">
        <f t="shared" ref="F16:G16" si="10">SUM(B16+D16)</f>
        <v>45</v>
      </c>
      <c r="G16" s="20">
        <f t="shared" si="10"/>
        <v>49.5</v>
      </c>
    </row>
    <row r="17" ht="18.0" customHeight="1">
      <c r="A17" s="17" t="s">
        <v>120</v>
      </c>
      <c r="B17" s="40">
        <v>16.0</v>
      </c>
      <c r="C17" s="20">
        <v>12.51</v>
      </c>
      <c r="D17" s="61">
        <v>0.0</v>
      </c>
      <c r="E17" s="20">
        <v>0.0</v>
      </c>
      <c r="F17" s="21">
        <f t="shared" ref="F17:G17" si="11">SUM(B17+D17)</f>
        <v>16</v>
      </c>
      <c r="G17" s="20">
        <f t="shared" si="11"/>
        <v>12.51</v>
      </c>
    </row>
    <row r="18" ht="18.0" customHeight="1">
      <c r="A18" s="17" t="s">
        <v>121</v>
      </c>
      <c r="B18" s="40">
        <v>3.0</v>
      </c>
      <c r="C18" s="20">
        <v>4.0</v>
      </c>
      <c r="D18" s="61">
        <v>0.0</v>
      </c>
      <c r="E18" s="20">
        <v>0.0</v>
      </c>
      <c r="F18" s="21">
        <f t="shared" ref="F18:G18" si="12">SUM(B18+D18)</f>
        <v>3</v>
      </c>
      <c r="G18" s="20">
        <f t="shared" si="12"/>
        <v>4</v>
      </c>
    </row>
    <row r="19" ht="18.0" customHeight="1">
      <c r="A19" s="17" t="s">
        <v>122</v>
      </c>
      <c r="B19" s="40">
        <v>20.0</v>
      </c>
      <c r="C19" s="20">
        <v>19.8</v>
      </c>
      <c r="D19" s="61">
        <v>1.0</v>
      </c>
      <c r="E19" s="20">
        <v>1.0</v>
      </c>
      <c r="F19" s="21">
        <f t="shared" ref="F19:G19" si="13">SUM(B19+D19)</f>
        <v>21</v>
      </c>
      <c r="G19" s="20">
        <f t="shared" si="13"/>
        <v>20.8</v>
      </c>
    </row>
    <row r="20" ht="18.0" customHeight="1">
      <c r="A20" s="17" t="s">
        <v>123</v>
      </c>
      <c r="B20" s="40">
        <v>29.0</v>
      </c>
      <c r="C20" s="20">
        <v>34.0</v>
      </c>
      <c r="D20" s="61">
        <v>0.0</v>
      </c>
      <c r="E20" s="20">
        <v>0.0</v>
      </c>
      <c r="F20" s="21">
        <f t="shared" ref="F20:G20" si="14">SUM(B20+D20)</f>
        <v>29</v>
      </c>
      <c r="G20" s="20">
        <f t="shared" si="14"/>
        <v>34</v>
      </c>
    </row>
    <row r="21" ht="18.0" customHeight="1">
      <c r="A21" s="17" t="s">
        <v>124</v>
      </c>
      <c r="B21" s="40">
        <v>4.0</v>
      </c>
      <c r="C21" s="20">
        <v>6.2</v>
      </c>
      <c r="D21" s="61">
        <v>1.0</v>
      </c>
      <c r="E21" s="20">
        <v>1.25</v>
      </c>
      <c r="F21" s="21">
        <f t="shared" ref="F21:G21" si="15">SUM(B21+D21)</f>
        <v>5</v>
      </c>
      <c r="G21" s="20">
        <f t="shared" si="15"/>
        <v>7.45</v>
      </c>
    </row>
    <row r="22" ht="18.0" customHeight="1">
      <c r="A22" s="17" t="s">
        <v>125</v>
      </c>
      <c r="B22" s="40">
        <v>10.0</v>
      </c>
      <c r="C22" s="20">
        <v>10.0</v>
      </c>
      <c r="D22" s="61">
        <v>0.0</v>
      </c>
      <c r="E22" s="20">
        <v>0.0</v>
      </c>
      <c r="F22" s="21">
        <f t="shared" ref="F22:G22" si="16">SUM(B22+D22)</f>
        <v>10</v>
      </c>
      <c r="G22" s="20">
        <f t="shared" si="16"/>
        <v>10</v>
      </c>
    </row>
    <row r="23" ht="18.0" customHeight="1">
      <c r="A23" s="17" t="s">
        <v>126</v>
      </c>
      <c r="B23" s="40">
        <v>46.0</v>
      </c>
      <c r="C23" s="20">
        <v>41.1</v>
      </c>
      <c r="D23" s="61">
        <v>2.0</v>
      </c>
      <c r="E23" s="20">
        <v>1.2</v>
      </c>
      <c r="F23" s="21">
        <f t="shared" ref="F23:G23" si="17">SUM(B23+D23)</f>
        <v>48</v>
      </c>
      <c r="G23" s="20">
        <f t="shared" si="17"/>
        <v>42.3</v>
      </c>
    </row>
    <row r="24" ht="18.0" customHeight="1">
      <c r="A24" s="17" t="s">
        <v>127</v>
      </c>
      <c r="B24" s="40">
        <v>71.0</v>
      </c>
      <c r="C24" s="20">
        <v>69.65</v>
      </c>
      <c r="D24" s="61">
        <v>1.0</v>
      </c>
      <c r="E24" s="20">
        <v>0.85</v>
      </c>
      <c r="F24" s="21">
        <f t="shared" ref="F24:G24" si="18">SUM(B24+D24)</f>
        <v>72</v>
      </c>
      <c r="G24" s="20">
        <f t="shared" si="18"/>
        <v>70.5</v>
      </c>
    </row>
    <row r="25" ht="18.0" customHeight="1">
      <c r="A25" s="17" t="s">
        <v>128</v>
      </c>
      <c r="B25" s="40">
        <v>34.0</v>
      </c>
      <c r="C25" s="20">
        <v>38.4</v>
      </c>
      <c r="D25" s="61">
        <v>1.0</v>
      </c>
      <c r="E25" s="20">
        <v>1.0</v>
      </c>
      <c r="F25" s="21">
        <f t="shared" ref="F25:G25" si="19">SUM(B25+D25)</f>
        <v>35</v>
      </c>
      <c r="G25" s="20">
        <f t="shared" si="19"/>
        <v>39.4</v>
      </c>
    </row>
    <row r="26" ht="18.0" customHeight="1">
      <c r="A26" s="56" t="s">
        <v>129</v>
      </c>
      <c r="B26" s="40">
        <v>109.0</v>
      </c>
      <c r="C26" s="20">
        <v>117.0</v>
      </c>
      <c r="D26" s="61">
        <v>0.0</v>
      </c>
      <c r="E26" s="20">
        <v>0.0</v>
      </c>
      <c r="F26" s="21">
        <f t="shared" ref="F26:G26" si="20">SUM(B26+D26)</f>
        <v>109</v>
      </c>
      <c r="G26" s="20">
        <f t="shared" si="20"/>
        <v>117</v>
      </c>
    </row>
    <row r="27" ht="23.25" customHeight="1">
      <c r="A27" s="57" t="s">
        <v>130</v>
      </c>
      <c r="B27" s="41">
        <f t="shared" ref="B27:G27" si="21">SUM(B7:B26)</f>
        <v>1119</v>
      </c>
      <c r="C27" s="25">
        <f t="shared" si="21"/>
        <v>1280.33</v>
      </c>
      <c r="D27" s="62">
        <f t="shared" si="21"/>
        <v>23</v>
      </c>
      <c r="E27" s="25">
        <f t="shared" si="21"/>
        <v>11.86</v>
      </c>
      <c r="F27" s="26">
        <f t="shared" si="21"/>
        <v>1142</v>
      </c>
      <c r="G27" s="25">
        <f t="shared" si="21"/>
        <v>1292.19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A5"/>
    <mergeCell ref="B3:E3"/>
    <mergeCell ref="F3:F5"/>
    <mergeCell ref="G3:G5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2020-04-09T00:45:00Z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